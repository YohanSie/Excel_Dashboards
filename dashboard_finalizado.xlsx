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e90140491230a/Documentos/"/>
    </mc:Choice>
  </mc:AlternateContent>
  <xr:revisionPtr revIDLastSave="603" documentId="8_{00B486B5-9652-4743-AE2E-6083488F3323}" xr6:coauthVersionLast="47" xr6:coauthVersionMax="47" xr10:uidLastSave="{19F70E69-86BE-4365-B623-A7CCA730F280}"/>
  <bookViews>
    <workbookView xWindow="-105" yWindow="0" windowWidth="14130" windowHeight="21705" tabRatio="409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3" l="1"/>
  <c r="G22" i="3"/>
</calcChain>
</file>

<file path=xl/sharedStrings.xml><?xml version="1.0" encoding="utf-8"?>
<sst xmlns="http://schemas.openxmlformats.org/spreadsheetml/2006/main" count="2013" uniqueCount="319">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</sst>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15"/>
      <color rgb="FF5BF6A8"/>
      <name val="Aptos Narrow"/>
      <family val="2"/>
      <scheme val="minor"/>
    </font>
    <font>
      <sz val="11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4" fillId="0" borderId="2" xfId="1" applyFont="1" applyBorder="1"/>
    <xf numFmtId="0" fontId="5" fillId="0" borderId="2" xfId="1" applyFont="1" applyBorder="1"/>
    <xf numFmtId="0" fontId="6" fillId="7" borderId="0" xfId="0" applyFont="1" applyFill="1"/>
    <xf numFmtId="164" fontId="0" fillId="0" borderId="0" xfId="0" applyNumberFormat="1"/>
    <xf numFmtId="0" fontId="4" fillId="0" borderId="2" xfId="1" applyFont="1" applyBorder="1" applyAlignment="1">
      <alignment horizontal="left" indent="11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FC9FBD0C-8B78-4160-86B2-7981DB726214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F7F8FC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[dashboard_finalizado.xlsx]C̳álculos!tbl_anual_total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613151971525484E-2"/>
                  <c:h val="0.16737999747571317"/>
                </c:manualLayout>
              </c15:layout>
            </c:ext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2343067014210181E-2"/>
                  <c:h val="0.1913042085889801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2536408296543282E-2"/>
          <c:y val="0"/>
          <c:w val="0.88274137327850255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343067014210181E-2"/>
                      <c:h val="0.191304208588980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D6A-4C2F-B461-B551BA07BF1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13151971525484E-2"/>
                      <c:h val="0.167379997475713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D6A-4C2F-B461-B551BA07BF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C̳álculos!$C$9:$C$11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C̳álculos!$D$9:$D$11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A-4C2F-B461-B551BA07B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118672"/>
        <c:axId val="75118192"/>
      </c:barChart>
      <c:catAx>
        <c:axId val="7511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118192"/>
        <c:crosses val="autoZero"/>
        <c:auto val="1"/>
        <c:lblAlgn val="ctr"/>
        <c:lblOffset val="100"/>
        <c:noMultiLvlLbl val="0"/>
      </c:catAx>
      <c:valAx>
        <c:axId val="751181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51186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238124</xdr:colOff>
      <xdr:row>12</xdr:row>
      <xdr:rowOff>176402</xdr:rowOff>
    </xdr:from>
    <xdr:to>
      <xdr:col>3</xdr:col>
      <xdr:colOff>519521</xdr:colOff>
      <xdr:row>15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4" y="26052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13</xdr:row>
      <xdr:rowOff>95250</xdr:rowOff>
    </xdr:from>
    <xdr:to>
      <xdr:col>12</xdr:col>
      <xdr:colOff>247650</xdr:colOff>
      <xdr:row>14</xdr:row>
      <xdr:rowOff>142875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53250" y="27241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323850</xdr:colOff>
      <xdr:row>12</xdr:row>
      <xdr:rowOff>123825</xdr:rowOff>
    </xdr:from>
    <xdr:to>
      <xdr:col>11</xdr:col>
      <xdr:colOff>409575</xdr:colOff>
      <xdr:row>16</xdr:row>
      <xdr:rowOff>47625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48375" y="255270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381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149679</xdr:colOff>
      <xdr:row>0</xdr:row>
      <xdr:rowOff>1027249</xdr:rowOff>
    </xdr:from>
    <xdr:to>
      <xdr:col>3</xdr:col>
      <xdr:colOff>41882</xdr:colOff>
      <xdr:row>2</xdr:row>
      <xdr:rowOff>356834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D832F1-B2AD-4716-8501-743CDCCDE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8" t="19799" r="72360" b="21962"/>
        <a:stretch>
          <a:fillRect/>
        </a:stretch>
      </xdr:blipFill>
      <xdr:spPr>
        <a:xfrm>
          <a:off x="2122715" y="1027249"/>
          <a:ext cx="831096" cy="86719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3</xdr:row>
      <xdr:rowOff>35622</xdr:rowOff>
    </xdr:from>
    <xdr:to>
      <xdr:col>0</xdr:col>
      <xdr:colOff>1889322</xdr:colOff>
      <xdr:row>9</xdr:row>
      <xdr:rowOff>44823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AC3BD4C-B3BA-4ACD-A059-95FDDF9C4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041475"/>
              <a:ext cx="1794072" cy="1275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280147</xdr:colOff>
      <xdr:row>3</xdr:row>
      <xdr:rowOff>224118</xdr:rowOff>
    </xdr:from>
    <xdr:to>
      <xdr:col>9</xdr:col>
      <xdr:colOff>291353</xdr:colOff>
      <xdr:row>13</xdr:row>
      <xdr:rowOff>156882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3D7525C1-BA93-8775-193C-577BD4D330AF}"/>
            </a:ext>
          </a:extLst>
        </xdr:cNvPr>
        <xdr:cNvGrpSpPr/>
      </xdr:nvGrpSpPr>
      <xdr:grpSpPr>
        <a:xfrm>
          <a:off x="2252382" y="2229971"/>
          <a:ext cx="4572000" cy="1961029"/>
          <a:chOff x="2252382" y="2229971"/>
          <a:chExt cx="4572000" cy="1961029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BD955F20-D59C-55FF-21BA-81D4676A4B1A}"/>
              </a:ext>
            </a:extLst>
          </xdr:cNvPr>
          <xdr:cNvGrpSpPr/>
        </xdr:nvGrpSpPr>
        <xdr:grpSpPr>
          <a:xfrm>
            <a:off x="2252382" y="2263588"/>
            <a:ext cx="4572000" cy="1927412"/>
            <a:chOff x="2252382" y="2263588"/>
            <a:chExt cx="4572000" cy="1927412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D1558E3E-007B-85A0-7337-905727B75408}"/>
                </a:ext>
              </a:extLst>
            </xdr:cNvPr>
            <xdr:cNvSpPr/>
          </xdr:nvSpPr>
          <xdr:spPr>
            <a:xfrm>
              <a:off x="2252382" y="2263588"/>
              <a:ext cx="4572000" cy="1927412"/>
            </a:xfrm>
            <a:prstGeom prst="roundRect">
              <a:avLst>
                <a:gd name="adj" fmla="val 736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5BF6A8"/>
                </a:solidFill>
              </a:endParaRPr>
            </a:p>
          </xdr:txBody>
        </xdr:sp>
        <xdr:sp macro="" textlink="C̳álculos!G22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C0F8BBB1-6BBA-4CA9-B4BB-B15441E4E6C6}"/>
                </a:ext>
              </a:extLst>
            </xdr:cNvPr>
            <xdr:cNvSpPr/>
          </xdr:nvSpPr>
          <xdr:spPr>
            <a:xfrm>
              <a:off x="3686734" y="2902324"/>
              <a:ext cx="2953868" cy="1053353"/>
            </a:xfrm>
            <a:prstGeom prst="roundRect">
              <a:avLst>
                <a:gd name="adj" fmla="val 1308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D2B3E35-2F40-472A-9A41-93116F437898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R$ 1.350,00 </a:t>
              </a:fld>
              <a:endParaRPr lang="en-US" sz="4000">
                <a:solidFill>
                  <a:srgbClr val="22C55E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456FF31B-29BD-4A85-9A56-480573CC71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386852" y="2902324"/>
              <a:ext cx="1042149" cy="1042149"/>
            </a:xfrm>
            <a:prstGeom prst="rect">
              <a:avLst/>
            </a:prstGeom>
          </xdr:spPr>
        </xdr:pic>
      </xdr:grp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683C0D8-F924-DF22-B7A6-6373FFB70D9B}"/>
              </a:ext>
            </a:extLst>
          </xdr:cNvPr>
          <xdr:cNvSpPr/>
        </xdr:nvSpPr>
        <xdr:spPr>
          <a:xfrm>
            <a:off x="2252382" y="2229971"/>
            <a:ext cx="4572000" cy="53788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141194</xdr:colOff>
      <xdr:row>3</xdr:row>
      <xdr:rowOff>224118</xdr:rowOff>
    </xdr:from>
    <xdr:to>
      <xdr:col>18</xdr:col>
      <xdr:colOff>40341</xdr:colOff>
      <xdr:row>13</xdr:row>
      <xdr:rowOff>156882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A6FDA538-E0C9-BD3F-F87A-A63966CA6AA9}"/>
            </a:ext>
          </a:extLst>
        </xdr:cNvPr>
        <xdr:cNvGrpSpPr/>
      </xdr:nvGrpSpPr>
      <xdr:grpSpPr>
        <a:xfrm>
          <a:off x="7279341" y="2229971"/>
          <a:ext cx="4572000" cy="1961029"/>
          <a:chOff x="7279341" y="2229971"/>
          <a:chExt cx="4572000" cy="1961029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498A125-20CC-488D-B879-E05A85E2E9EA}"/>
              </a:ext>
            </a:extLst>
          </xdr:cNvPr>
          <xdr:cNvGrpSpPr/>
        </xdr:nvGrpSpPr>
        <xdr:grpSpPr>
          <a:xfrm>
            <a:off x="7279341" y="2229971"/>
            <a:ext cx="4572000" cy="1961029"/>
            <a:chOff x="2252382" y="2229971"/>
            <a:chExt cx="4572000" cy="1961029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FF6DDC74-59C0-F84D-AE6D-5A756399B76C}"/>
                </a:ext>
              </a:extLst>
            </xdr:cNvPr>
            <xdr:cNvGrpSpPr/>
          </xdr:nvGrpSpPr>
          <xdr:grpSpPr>
            <a:xfrm>
              <a:off x="2252382" y="2263588"/>
              <a:ext cx="4572000" cy="1927412"/>
              <a:chOff x="2252382" y="2263588"/>
              <a:chExt cx="4572000" cy="1927412"/>
            </a:xfrm>
          </xdr:grpSpPr>
          <xdr:sp macro="" textlink="">
            <xdr:nvSpPr>
              <xdr:cNvPr id="21" name="Retângulo: Cantos Arredondados 20">
                <a:extLst>
                  <a:ext uri="{FF2B5EF4-FFF2-40B4-BE49-F238E27FC236}">
                    <a16:creationId xmlns:a16="http://schemas.microsoft.com/office/drawing/2014/main" id="{C482826B-03CD-C1E6-C91E-71C6A10720CB}"/>
                  </a:ext>
                </a:extLst>
              </xdr:cNvPr>
              <xdr:cNvSpPr/>
            </xdr:nvSpPr>
            <xdr:spPr>
              <a:xfrm>
                <a:off x="2252382" y="2263588"/>
                <a:ext cx="4572000" cy="1927412"/>
              </a:xfrm>
              <a:prstGeom prst="roundRect">
                <a:avLst>
                  <a:gd name="adj" fmla="val 736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rgbClr val="5BF6A8"/>
                  </a:solidFill>
                </a:endParaRPr>
              </a:p>
            </xdr:txBody>
          </xdr:sp>
          <xdr:sp macro="" textlink="C̳álculos!G34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E46ECE46-61A2-D46E-82F3-3A9A46D35DAA}"/>
                  </a:ext>
                </a:extLst>
              </xdr:cNvPr>
              <xdr:cNvSpPr/>
            </xdr:nvSpPr>
            <xdr:spPr>
              <a:xfrm>
                <a:off x="3686734" y="2902324"/>
                <a:ext cx="2953868" cy="1053353"/>
              </a:xfrm>
              <a:prstGeom prst="roundRect">
                <a:avLst>
                  <a:gd name="adj" fmla="val 13081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5BDAA900-DDD9-4918-A240-BA8D887967CE}" type="TxLink">
                  <a:rPr lang="en-US" sz="4000" b="0" i="0" u="none" strike="noStrike">
                    <a:solidFill>
                      <a:srgbClr val="22C55E"/>
                    </a:solidFill>
                    <a:latin typeface="Aptos Narrow"/>
                  </a:rPr>
                  <a:t> R$ 1.800,00 </a:t>
                </a:fld>
                <a:endParaRPr lang="en-US" sz="4000">
                  <a:solidFill>
                    <a:srgbClr val="22C55E"/>
                  </a:solidFill>
                </a:endParaRPr>
              </a:p>
            </xdr:txBody>
          </xdr:sp>
        </xdr:grp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B4DDEBE3-02E0-B896-44B9-0EDC0442FEEB}"/>
                </a:ext>
              </a:extLst>
            </xdr:cNvPr>
            <xdr:cNvSpPr/>
          </xdr:nvSpPr>
          <xdr:spPr>
            <a:xfrm>
              <a:off x="2252382" y="2229971"/>
              <a:ext cx="4572000" cy="53788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SUBSCRIPTS MINECRAFT SEASONPASS</a:t>
              </a:r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D76253E3-FB87-48A6-BED8-CC12194C6EE3}"/>
              </a:ext>
            </a:extLst>
          </xdr:cNvPr>
          <xdr:cNvGrpSpPr/>
        </xdr:nvGrpSpPr>
        <xdr:grpSpPr>
          <a:xfrm>
            <a:off x="7568555" y="3184442"/>
            <a:ext cx="1150340" cy="486140"/>
            <a:chOff x="3610553" y="5559858"/>
            <a:chExt cx="1319720" cy="574222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F35DB435-E7D8-EA91-41E6-6DB36D1825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54927" y="5559858"/>
              <a:ext cx="424811" cy="466184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ECEF8C9B-4B53-E9AE-1232-A1CF9C97B6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610553" y="5915007"/>
              <a:ext cx="1319720" cy="21907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260765</xdr:colOff>
      <xdr:row>16</xdr:row>
      <xdr:rowOff>126577</xdr:rowOff>
    </xdr:from>
    <xdr:to>
      <xdr:col>18</xdr:col>
      <xdr:colOff>78277</xdr:colOff>
      <xdr:row>32</xdr:row>
      <xdr:rowOff>177484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9297743A-1CCC-5C64-9EE5-1EC7B7B5AA61}"/>
            </a:ext>
          </a:extLst>
        </xdr:cNvPr>
        <xdr:cNvGrpSpPr/>
      </xdr:nvGrpSpPr>
      <xdr:grpSpPr>
        <a:xfrm>
          <a:off x="2233000" y="4732195"/>
          <a:ext cx="9656277" cy="3098907"/>
          <a:chOff x="2206586" y="4698577"/>
          <a:chExt cx="9764333" cy="309890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BC71A15-7D5A-031B-F8D2-FAD64E9057BE}"/>
              </a:ext>
            </a:extLst>
          </xdr:cNvPr>
          <xdr:cNvGrpSpPr/>
        </xdr:nvGrpSpPr>
        <xdr:grpSpPr>
          <a:xfrm>
            <a:off x="2216198" y="4736677"/>
            <a:ext cx="9750168" cy="3060807"/>
            <a:chOff x="2274794" y="2173941"/>
            <a:chExt cx="3989294" cy="280147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CB3FFB23-F5ED-8930-F816-D563C567ACFD}"/>
                </a:ext>
              </a:extLst>
            </xdr:cNvPr>
            <xdr:cNvSpPr/>
          </xdr:nvSpPr>
          <xdr:spPr>
            <a:xfrm>
              <a:off x="2274794" y="2173941"/>
              <a:ext cx="3989294" cy="2801471"/>
            </a:xfrm>
            <a:prstGeom prst="roundRect">
              <a:avLst>
                <a:gd name="adj" fmla="val 466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F62420C-0A13-4E20-AFB5-565CD6ACE9E9}"/>
                </a:ext>
              </a:extLst>
            </xdr:cNvPr>
            <xdr:cNvGraphicFramePr>
              <a:graphicFrameLocks/>
            </xdr:cNvGraphicFramePr>
          </xdr:nvGraphicFramePr>
          <xdr:xfrm>
            <a:off x="2336758" y="2807834"/>
            <a:ext cx="3741280" cy="19434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0" name="Retângulo: Cantos Superiores Arredondados 39">
            <a:extLst>
              <a:ext uri="{FF2B5EF4-FFF2-40B4-BE49-F238E27FC236}">
                <a16:creationId xmlns:a16="http://schemas.microsoft.com/office/drawing/2014/main" id="{0844D904-FF6B-41FB-9DA3-62063EBFFFC5}"/>
              </a:ext>
            </a:extLst>
          </xdr:cNvPr>
          <xdr:cNvSpPr/>
        </xdr:nvSpPr>
        <xdr:spPr>
          <a:xfrm>
            <a:off x="2206586" y="4698577"/>
            <a:ext cx="9764333" cy="53788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462643</xdr:colOff>
      <xdr:row>0</xdr:row>
      <xdr:rowOff>436791</xdr:rowOff>
    </xdr:from>
    <xdr:to>
      <xdr:col>0</xdr:col>
      <xdr:colOff>1469572</xdr:colOff>
      <xdr:row>1</xdr:row>
      <xdr:rowOff>300723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593DAF1E-D0B9-4FF4-ABFD-2B9C9FF52C47}"/>
            </a:ext>
          </a:extLst>
        </xdr:cNvPr>
        <xdr:cNvSpPr/>
      </xdr:nvSpPr>
      <xdr:spPr>
        <a:xfrm>
          <a:off x="462643" y="436791"/>
          <a:ext cx="1006929" cy="100693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han siedschlag" refreshedDate="46114.860762268516" createdVersion="8" refreshedVersion="8" minRefreshableVersion="3" recordCount="295" xr:uid="{BA5AA32A-1E4A-4F43-9E10-16B252856A0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45767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x v="0"/>
    <n v="20"/>
    <n v="5"/>
    <n v="60"/>
  </r>
  <r>
    <n v="3232"/>
    <s v="Maria Oliveira"/>
    <x v="1"/>
    <d v="2024-01-15T00:00:00"/>
    <x v="1"/>
    <n v="5"/>
    <x v="1"/>
    <s v="No"/>
    <x v="1"/>
    <x v="1"/>
    <n v="0"/>
    <n v="0"/>
    <n v="5"/>
  </r>
  <r>
    <n v="3233"/>
    <s v="Lucas Fernandes"/>
    <x v="2"/>
    <d v="2024-02-10T00:00:00"/>
    <x v="0"/>
    <n v="10"/>
    <x v="2"/>
    <s v="No"/>
    <x v="1"/>
    <x v="0"/>
    <n v="20"/>
    <n v="10"/>
    <n v="20"/>
  </r>
  <r>
    <n v="3234"/>
    <s v="Ana Souza"/>
    <x v="0"/>
    <d v="2024-02-20T00:00:00"/>
    <x v="1"/>
    <n v="15"/>
    <x v="0"/>
    <s v="Yes"/>
    <x v="0"/>
    <x v="0"/>
    <n v="20"/>
    <n v="3"/>
    <n v="62"/>
  </r>
  <r>
    <n v="3235"/>
    <s v="Pedro Gonçalves"/>
    <x v="1"/>
    <d v="2024-03-05T00:00:00"/>
    <x v="0"/>
    <n v="5"/>
    <x v="0"/>
    <s v="No"/>
    <x v="1"/>
    <x v="1"/>
    <n v="0"/>
    <n v="1"/>
    <n v="4"/>
  </r>
  <r>
    <n v="3236"/>
    <s v="Felipe Costa"/>
    <x v="2"/>
    <d v="2024-03-02T00:00:00"/>
    <x v="1"/>
    <n v="10"/>
    <x v="0"/>
    <s v="No"/>
    <x v="1"/>
    <x v="0"/>
    <n v="20"/>
    <n v="2"/>
    <n v="28"/>
  </r>
  <r>
    <n v="3237"/>
    <s v="Camila Ribeiro"/>
    <x v="0"/>
    <d v="2024-03-03T00:00:00"/>
    <x v="0"/>
    <n v="15"/>
    <x v="2"/>
    <s v="Yes"/>
    <x v="0"/>
    <x v="0"/>
    <n v="20"/>
    <n v="10"/>
    <n v="55"/>
  </r>
  <r>
    <n v="3238"/>
    <s v="André Mendes"/>
    <x v="1"/>
    <d v="2024-03-04T00:00:00"/>
    <x v="0"/>
    <n v="5"/>
    <x v="1"/>
    <s v="No"/>
    <x v="1"/>
    <x v="1"/>
    <n v="0"/>
    <n v="0"/>
    <n v="5"/>
  </r>
  <r>
    <n v="3239"/>
    <s v="Sofia Almeida"/>
    <x v="0"/>
    <d v="2024-03-05T00:00:00"/>
    <x v="1"/>
    <n v="15"/>
    <x v="0"/>
    <s v="Yes"/>
    <x v="0"/>
    <x v="0"/>
    <n v="20"/>
    <n v="5"/>
    <n v="60"/>
  </r>
  <r>
    <n v="3240"/>
    <s v="Bruno Martins"/>
    <x v="2"/>
    <d v="2024-03-06T00:00:00"/>
    <x v="0"/>
    <n v="10"/>
    <x v="2"/>
    <s v="No"/>
    <x v="1"/>
    <x v="0"/>
    <n v="20"/>
    <n v="15"/>
    <n v="15"/>
  </r>
  <r>
    <n v="3241"/>
    <s v="Rita Castro"/>
    <x v="1"/>
    <d v="2024-03-07T00:00:00"/>
    <x v="1"/>
    <n v="5"/>
    <x v="0"/>
    <s v="No"/>
    <x v="1"/>
    <x v="1"/>
    <n v="0"/>
    <n v="1"/>
    <n v="4"/>
  </r>
  <r>
    <n v="3242"/>
    <s v="Marco Túlio"/>
    <x v="0"/>
    <d v="2024-03-08T00:00:00"/>
    <x v="0"/>
    <n v="15"/>
    <x v="1"/>
    <s v="Yes"/>
    <x v="0"/>
    <x v="0"/>
    <n v="20"/>
    <n v="20"/>
    <n v="45"/>
  </r>
  <r>
    <n v="3243"/>
    <s v="Lívia Silveira"/>
    <x v="2"/>
    <d v="2024-03-09T00:00:00"/>
    <x v="1"/>
    <n v="10"/>
    <x v="0"/>
    <s v="No"/>
    <x v="1"/>
    <x v="0"/>
    <n v="20"/>
    <n v="10"/>
    <n v="20"/>
  </r>
  <r>
    <n v="3244"/>
    <s v="Diogo Sousa"/>
    <x v="1"/>
    <d v="2024-03-10T00:00:00"/>
    <x v="0"/>
    <n v="5"/>
    <x v="2"/>
    <s v="No"/>
    <x v="1"/>
    <x v="1"/>
    <n v="0"/>
    <n v="0"/>
    <n v="5"/>
  </r>
  <r>
    <n v="3245"/>
    <s v="Fernanda Lima"/>
    <x v="0"/>
    <d v="2024-03-11T00:00:00"/>
    <x v="1"/>
    <n v="15"/>
    <x v="0"/>
    <s v="Yes"/>
    <x v="0"/>
    <x v="0"/>
    <n v="20"/>
    <n v="8"/>
    <n v="57"/>
  </r>
  <r>
    <n v="3246"/>
    <s v="Caio Pereira"/>
    <x v="2"/>
    <d v="2024-03-12T00:00:00"/>
    <x v="0"/>
    <n v="10"/>
    <x v="1"/>
    <s v="No"/>
    <x v="1"/>
    <x v="0"/>
    <n v="20"/>
    <n v="12"/>
    <n v="18"/>
  </r>
  <r>
    <n v="3247"/>
    <s v="Beatriz Gomes"/>
    <x v="1"/>
    <d v="2024-03-13T00:00:00"/>
    <x v="1"/>
    <n v="5"/>
    <x v="0"/>
    <s v="No"/>
    <x v="1"/>
    <x v="1"/>
    <n v="0"/>
    <n v="2"/>
    <n v="3"/>
  </r>
  <r>
    <n v="3248"/>
    <s v="Cesar Oliveira"/>
    <x v="0"/>
    <d v="2024-03-14T00:00:00"/>
    <x v="0"/>
    <n v="15"/>
    <x v="2"/>
    <s v="Yes"/>
    <x v="0"/>
    <x v="0"/>
    <n v="20"/>
    <n v="7"/>
    <n v="58"/>
  </r>
  <r>
    <n v="3249"/>
    <s v="Débora Machado"/>
    <x v="2"/>
    <d v="2024-03-15T00:00:00"/>
    <x v="1"/>
    <n v="10"/>
    <x v="0"/>
    <s v="No"/>
    <x v="1"/>
    <x v="0"/>
    <n v="20"/>
    <n v="5"/>
    <n v="25"/>
  </r>
  <r>
    <n v="3250"/>
    <s v="Eduardo Vargas"/>
    <x v="1"/>
    <d v="2024-03-16T00:00:00"/>
    <x v="0"/>
    <n v="5"/>
    <x v="1"/>
    <s v="No"/>
    <x v="1"/>
    <x v="1"/>
    <n v="0"/>
    <n v="0"/>
    <n v="5"/>
  </r>
  <r>
    <n v="3251"/>
    <s v="Gabriela Santos"/>
    <x v="0"/>
    <d v="2024-03-17T00:00:00"/>
    <x v="1"/>
    <n v="15"/>
    <x v="0"/>
    <s v="Yes"/>
    <x v="0"/>
    <x v="0"/>
    <n v="20"/>
    <n v="3"/>
    <n v="62"/>
  </r>
  <r>
    <n v="3252"/>
    <s v="Henrique Dias"/>
    <x v="2"/>
    <d v="2024-03-18T00:00:00"/>
    <x v="0"/>
    <n v="10"/>
    <x v="2"/>
    <s v="No"/>
    <x v="1"/>
    <x v="0"/>
    <n v="20"/>
    <n v="15"/>
    <n v="15"/>
  </r>
  <r>
    <n v="3253"/>
    <s v="Isabela Moreira"/>
    <x v="1"/>
    <d v="2024-03-19T00:00:00"/>
    <x v="1"/>
    <n v="5"/>
    <x v="0"/>
    <s v="No"/>
    <x v="1"/>
    <x v="1"/>
    <n v="0"/>
    <n v="1"/>
    <n v="4"/>
  </r>
  <r>
    <n v="3254"/>
    <s v="Joaquim Barbosa"/>
    <x v="0"/>
    <d v="2024-03-20T00:00:00"/>
    <x v="0"/>
    <n v="15"/>
    <x v="1"/>
    <s v="Yes"/>
    <x v="0"/>
    <x v="0"/>
    <n v="20"/>
    <n v="20"/>
    <n v="45"/>
  </r>
  <r>
    <n v="3255"/>
    <s v="Lara Rocha"/>
    <x v="2"/>
    <d v="2024-03-21T00:00:00"/>
    <x v="1"/>
    <n v="10"/>
    <x v="0"/>
    <s v="No"/>
    <x v="1"/>
    <x v="0"/>
    <n v="20"/>
    <n v="10"/>
    <n v="20"/>
  </r>
  <r>
    <n v="3256"/>
    <s v="Matheus Silva"/>
    <x v="1"/>
    <d v="2024-03-22T00:00:00"/>
    <x v="0"/>
    <n v="5"/>
    <x v="2"/>
    <s v="No"/>
    <x v="1"/>
    <x v="1"/>
    <n v="0"/>
    <n v="0"/>
    <n v="5"/>
  </r>
  <r>
    <n v="3257"/>
    <s v="Nicole Costa"/>
    <x v="0"/>
    <d v="2024-03-23T00:00:00"/>
    <x v="1"/>
    <n v="15"/>
    <x v="0"/>
    <s v="Yes"/>
    <x v="0"/>
    <x v="0"/>
    <n v="20"/>
    <n v="5"/>
    <n v="60"/>
  </r>
  <r>
    <n v="3258"/>
    <s v="Otávio Mendonça"/>
    <x v="2"/>
    <d v="2024-03-24T00:00:00"/>
    <x v="0"/>
    <n v="10"/>
    <x v="1"/>
    <s v="No"/>
    <x v="1"/>
    <x v="0"/>
    <n v="20"/>
    <n v="15"/>
    <n v="15"/>
  </r>
  <r>
    <n v="3259"/>
    <s v="Paula Ferreira"/>
    <x v="1"/>
    <d v="2024-03-25T00:00:00"/>
    <x v="1"/>
    <n v="5"/>
    <x v="0"/>
    <s v="No"/>
    <x v="1"/>
    <x v="1"/>
    <n v="0"/>
    <n v="1"/>
    <n v="4"/>
  </r>
  <r>
    <n v="3260"/>
    <s v="Raquel Alves"/>
    <x v="0"/>
    <d v="2024-03-26T00:00:00"/>
    <x v="0"/>
    <n v="15"/>
    <x v="2"/>
    <s v="Yes"/>
    <x v="0"/>
    <x v="0"/>
    <n v="20"/>
    <n v="7"/>
    <n v="58"/>
  </r>
  <r>
    <n v="3261"/>
    <s v="Samuel Pires"/>
    <x v="2"/>
    <d v="2024-03-27T00:00:00"/>
    <x v="1"/>
    <n v="10"/>
    <x v="0"/>
    <s v="No"/>
    <x v="1"/>
    <x v="0"/>
    <n v="20"/>
    <n v="10"/>
    <n v="20"/>
  </r>
  <r>
    <n v="3262"/>
    <s v="Tânia Barros"/>
    <x v="1"/>
    <d v="2024-03-28T00:00:00"/>
    <x v="0"/>
    <n v="5"/>
    <x v="1"/>
    <s v="No"/>
    <x v="1"/>
    <x v="1"/>
    <n v="0"/>
    <n v="0"/>
    <n v="5"/>
  </r>
  <r>
    <n v="3263"/>
    <s v="Vinicius Lima"/>
    <x v="0"/>
    <d v="2024-03-29T00:00:00"/>
    <x v="1"/>
    <n v="15"/>
    <x v="0"/>
    <s v="Yes"/>
    <x v="0"/>
    <x v="0"/>
    <n v="20"/>
    <n v="3"/>
    <n v="62"/>
  </r>
  <r>
    <n v="3264"/>
    <s v="Yasmin Teixeira"/>
    <x v="2"/>
    <d v="2024-03-30T00:00:00"/>
    <x v="0"/>
    <n v="10"/>
    <x v="2"/>
    <s v="No"/>
    <x v="1"/>
    <x v="0"/>
    <n v="20"/>
    <n v="15"/>
    <n v="15"/>
  </r>
  <r>
    <n v="3265"/>
    <s v="Zé Carlos"/>
    <x v="1"/>
    <d v="2024-03-31T00:00:00"/>
    <x v="1"/>
    <n v="5"/>
    <x v="0"/>
    <s v="No"/>
    <x v="1"/>
    <x v="1"/>
    <n v="0"/>
    <n v="1"/>
    <n v="4"/>
  </r>
  <r>
    <n v="3266"/>
    <s v="Amanda Nogueira"/>
    <x v="1"/>
    <d v="2024-04-01T00:00:00"/>
    <x v="0"/>
    <n v="5"/>
    <x v="0"/>
    <s v="No"/>
    <x v="1"/>
    <x v="1"/>
    <n v="0"/>
    <n v="0"/>
    <n v="5"/>
  </r>
  <r>
    <n v="3267"/>
    <s v="Bruno Cavalheiro"/>
    <x v="0"/>
    <d v="2024-04-02T00:00:00"/>
    <x v="1"/>
    <n v="15"/>
    <x v="2"/>
    <s v="Yes"/>
    <x v="0"/>
    <x v="0"/>
    <n v="20"/>
    <n v="7"/>
    <n v="58"/>
  </r>
  <r>
    <n v="3268"/>
    <s v="Carla Dias"/>
    <x v="2"/>
    <d v="2024-04-03T00:00:00"/>
    <x v="0"/>
    <n v="10"/>
    <x v="1"/>
    <s v="No"/>
    <x v="1"/>
    <x v="0"/>
    <n v="20"/>
    <n v="10"/>
    <n v="20"/>
  </r>
  <r>
    <n v="3269"/>
    <s v="Diego Fontes"/>
    <x v="1"/>
    <d v="2024-04-04T00:00:00"/>
    <x v="1"/>
    <n v="5"/>
    <x v="2"/>
    <s v="No"/>
    <x v="1"/>
    <x v="1"/>
    <n v="0"/>
    <n v="1"/>
    <n v="4"/>
  </r>
  <r>
    <n v="3270"/>
    <s v="Eunice Lima"/>
    <x v="0"/>
    <d v="2024-04-05T00:00:00"/>
    <x v="0"/>
    <n v="15"/>
    <x v="0"/>
    <s v="Yes"/>
    <x v="0"/>
    <x v="0"/>
    <n v="20"/>
    <n v="15"/>
    <n v="50"/>
  </r>
  <r>
    <n v="3271"/>
    <s v="Fábio Martins"/>
    <x v="2"/>
    <d v="2024-04-06T00:00:00"/>
    <x v="1"/>
    <n v="10"/>
    <x v="0"/>
    <s v="No"/>
    <x v="1"/>
    <x v="0"/>
    <n v="20"/>
    <n v="5"/>
    <n v="25"/>
  </r>
  <r>
    <n v="3272"/>
    <s v="Gisele Araújo"/>
    <x v="1"/>
    <d v="2024-04-07T00:00:00"/>
    <x v="0"/>
    <n v="5"/>
    <x v="1"/>
    <s v="No"/>
    <x v="1"/>
    <x v="1"/>
    <n v="0"/>
    <n v="0"/>
    <n v="5"/>
  </r>
  <r>
    <n v="3273"/>
    <s v="Hélio Castro"/>
    <x v="0"/>
    <d v="2024-04-08T00:00:00"/>
    <x v="1"/>
    <n v="15"/>
    <x v="2"/>
    <s v="Yes"/>
    <x v="0"/>
    <x v="0"/>
    <n v="20"/>
    <n v="20"/>
    <n v="45"/>
  </r>
  <r>
    <n v="3274"/>
    <s v="Ingrid Menezes"/>
    <x v="2"/>
    <d v="2024-04-09T00:00:00"/>
    <x v="0"/>
    <n v="10"/>
    <x v="2"/>
    <s v="No"/>
    <x v="1"/>
    <x v="0"/>
    <n v="20"/>
    <n v="12"/>
    <n v="18"/>
  </r>
  <r>
    <n v="3275"/>
    <s v="Jorge Baptista"/>
    <x v="1"/>
    <d v="2024-04-10T00:00:00"/>
    <x v="1"/>
    <n v="5"/>
    <x v="0"/>
    <s v="No"/>
    <x v="1"/>
    <x v="1"/>
    <n v="0"/>
    <n v="2"/>
    <n v="3"/>
  </r>
  <r>
    <n v="3276"/>
    <s v="Kléber Oliveira"/>
    <x v="0"/>
    <d v="2024-04-11T00:00:00"/>
    <x v="0"/>
    <n v="15"/>
    <x v="1"/>
    <s v="Yes"/>
    <x v="0"/>
    <x v="0"/>
    <n v="20"/>
    <n v="5"/>
    <n v="60"/>
  </r>
  <r>
    <n v="3277"/>
    <s v="Luciana Freitas"/>
    <x v="2"/>
    <d v="2024-04-12T00:00:00"/>
    <x v="1"/>
    <n v="10"/>
    <x v="0"/>
    <s v="No"/>
    <x v="1"/>
    <x v="0"/>
    <n v="20"/>
    <n v="10"/>
    <n v="20"/>
  </r>
  <r>
    <n v="3278"/>
    <s v="Márcia Eller"/>
    <x v="1"/>
    <d v="2024-04-13T00:00:00"/>
    <x v="0"/>
    <n v="5"/>
    <x v="2"/>
    <s v="No"/>
    <x v="1"/>
    <x v="1"/>
    <n v="0"/>
    <n v="0"/>
    <n v="5"/>
  </r>
  <r>
    <n v="3279"/>
    <s v="Nilo Peçanha"/>
    <x v="0"/>
    <d v="2024-04-14T00:00:00"/>
    <x v="1"/>
    <n v="15"/>
    <x v="0"/>
    <s v="Yes"/>
    <x v="0"/>
    <x v="0"/>
    <n v="20"/>
    <n v="3"/>
    <n v="62"/>
  </r>
  <r>
    <n v="3280"/>
    <s v="Oscar Neves"/>
    <x v="2"/>
    <d v="2024-04-15T00:00:00"/>
    <x v="0"/>
    <n v="10"/>
    <x v="1"/>
    <s v="No"/>
    <x v="1"/>
    <x v="0"/>
    <n v="20"/>
    <n v="15"/>
    <n v="15"/>
  </r>
  <r>
    <n v="3281"/>
    <s v="Patrícia Soares"/>
    <x v="1"/>
    <d v="2024-04-16T00:00:00"/>
    <x v="1"/>
    <n v="5"/>
    <x v="0"/>
    <s v="No"/>
    <x v="1"/>
    <x v="1"/>
    <n v="0"/>
    <n v="1"/>
    <n v="4"/>
  </r>
  <r>
    <n v="3282"/>
    <s v="Quirino Gonçalves"/>
    <x v="0"/>
    <d v="2024-04-17T00:00:00"/>
    <x v="0"/>
    <n v="15"/>
    <x v="2"/>
    <s v="Yes"/>
    <x v="0"/>
    <x v="0"/>
    <n v="20"/>
    <n v="7"/>
    <n v="58"/>
  </r>
  <r>
    <n v="3283"/>
    <s v="Raul Machado"/>
    <x v="2"/>
    <d v="2024-04-18T00:00:00"/>
    <x v="1"/>
    <n v="10"/>
    <x v="0"/>
    <s v="No"/>
    <x v="1"/>
    <x v="0"/>
    <n v="20"/>
    <n v="10"/>
    <n v="20"/>
  </r>
  <r>
    <n v="3284"/>
    <s v="Sônia Lobo"/>
    <x v="1"/>
    <d v="2024-04-19T00:00:00"/>
    <x v="0"/>
    <n v="5"/>
    <x v="1"/>
    <s v="No"/>
    <x v="1"/>
    <x v="1"/>
    <n v="0"/>
    <n v="0"/>
    <n v="5"/>
  </r>
  <r>
    <n v="3285"/>
    <s v="Tiago Ramos"/>
    <x v="0"/>
    <d v="2024-04-20T00:00:00"/>
    <x v="1"/>
    <n v="15"/>
    <x v="0"/>
    <s v="Yes"/>
    <x v="0"/>
    <x v="0"/>
    <n v="20"/>
    <n v="20"/>
    <n v="45"/>
  </r>
  <r>
    <n v="3286"/>
    <s v="Ugo Pires"/>
    <x v="2"/>
    <d v="2024-04-21T00:00:00"/>
    <x v="0"/>
    <n v="10"/>
    <x v="2"/>
    <s v="No"/>
    <x v="1"/>
    <x v="0"/>
    <n v="20"/>
    <n v="15"/>
    <n v="15"/>
  </r>
  <r>
    <n v="3287"/>
    <s v="Valéria Nobre"/>
    <x v="1"/>
    <d v="2024-04-22T00:00:00"/>
    <x v="1"/>
    <n v="5"/>
    <x v="0"/>
    <s v="No"/>
    <x v="1"/>
    <x v="1"/>
    <n v="0"/>
    <n v="1"/>
    <n v="4"/>
  </r>
  <r>
    <n v="3288"/>
    <s v="William Siqueira"/>
    <x v="0"/>
    <d v="2024-04-23T00:00:00"/>
    <x v="0"/>
    <n v="15"/>
    <x v="1"/>
    <s v="Yes"/>
    <x v="0"/>
    <x v="0"/>
    <n v="20"/>
    <n v="3"/>
    <n v="62"/>
  </r>
  <r>
    <n v="3289"/>
    <s v="Xuxa Meneghel"/>
    <x v="2"/>
    <d v="2024-04-24T00:00:00"/>
    <x v="1"/>
    <n v="10"/>
    <x v="0"/>
    <s v="No"/>
    <x v="1"/>
    <x v="0"/>
    <n v="20"/>
    <n v="10"/>
    <n v="20"/>
  </r>
  <r>
    <n v="3290"/>
    <s v="Yara Figueiredo"/>
    <x v="1"/>
    <d v="2024-04-25T00:00:00"/>
    <x v="0"/>
    <n v="5"/>
    <x v="2"/>
    <s v="No"/>
    <x v="1"/>
    <x v="1"/>
    <n v="0"/>
    <n v="0"/>
    <n v="5"/>
  </r>
  <r>
    <n v="3291"/>
    <s v="Zacarias Alves"/>
    <x v="0"/>
    <d v="2024-04-26T00:00:00"/>
    <x v="1"/>
    <n v="15"/>
    <x v="0"/>
    <s v="Yes"/>
    <x v="0"/>
    <x v="0"/>
    <n v="20"/>
    <n v="5"/>
    <n v="60"/>
  </r>
  <r>
    <n v="3292"/>
    <s v="Amanda Bynes"/>
    <x v="2"/>
    <d v="2024-04-27T00:00:00"/>
    <x v="0"/>
    <n v="10"/>
    <x v="1"/>
    <s v="No"/>
    <x v="1"/>
    <x v="0"/>
    <n v="20"/>
    <n v="15"/>
    <n v="15"/>
  </r>
  <r>
    <n v="3293"/>
    <s v="Bruno Mars"/>
    <x v="1"/>
    <d v="2024-04-28T00:00:00"/>
    <x v="1"/>
    <n v="5"/>
    <x v="0"/>
    <s v="No"/>
    <x v="1"/>
    <x v="1"/>
    <n v="0"/>
    <n v="1"/>
    <n v="4"/>
  </r>
  <r>
    <n v="3294"/>
    <s v="Carla Bruni"/>
    <x v="0"/>
    <d v="2024-04-29T00:00:00"/>
    <x v="0"/>
    <n v="15"/>
    <x v="2"/>
    <s v="Yes"/>
    <x v="0"/>
    <x v="0"/>
    <n v="20"/>
    <n v="20"/>
    <n v="45"/>
  </r>
  <r>
    <n v="3295"/>
    <s v="Diego Maradona"/>
    <x v="2"/>
    <d v="2024-04-30T00:00:00"/>
    <x v="1"/>
    <n v="10"/>
    <x v="0"/>
    <s v="No"/>
    <x v="1"/>
    <x v="0"/>
    <n v="20"/>
    <n v="5"/>
    <n v="25"/>
  </r>
  <r>
    <n v="3296"/>
    <s v="Estela Marques"/>
    <x v="1"/>
    <d v="2024-05-01T00:00:00"/>
    <x v="1"/>
    <n v="5"/>
    <x v="0"/>
    <s v="No"/>
    <x v="1"/>
    <x v="1"/>
    <n v="0"/>
    <n v="0"/>
    <n v="5"/>
  </r>
  <r>
    <n v="3297"/>
    <s v="Fábio Nobre"/>
    <x v="0"/>
    <d v="2024-05-02T00:00:00"/>
    <x v="0"/>
    <n v="15"/>
    <x v="2"/>
    <s v="Yes"/>
    <x v="0"/>
    <x v="0"/>
    <n v="20"/>
    <n v="7"/>
    <n v="58"/>
  </r>
  <r>
    <n v="3298"/>
    <s v="Gabriel Oliveira"/>
    <x v="2"/>
    <d v="2024-05-03T00:00:00"/>
    <x v="1"/>
    <n v="10"/>
    <x v="1"/>
    <s v="No"/>
    <x v="1"/>
    <x v="0"/>
    <n v="20"/>
    <n v="10"/>
    <n v="20"/>
  </r>
  <r>
    <n v="3299"/>
    <s v="Helena Santos"/>
    <x v="1"/>
    <d v="2024-05-04T00:00:00"/>
    <x v="0"/>
    <n v="5"/>
    <x v="2"/>
    <s v="No"/>
    <x v="1"/>
    <x v="1"/>
    <n v="0"/>
    <n v="1"/>
    <n v="4"/>
  </r>
  <r>
    <n v="3300"/>
    <s v="Ivan Carvalho"/>
    <x v="0"/>
    <d v="2024-05-05T00:00:00"/>
    <x v="1"/>
    <n v="15"/>
    <x v="0"/>
    <s v="Yes"/>
    <x v="0"/>
    <x v="0"/>
    <n v="20"/>
    <n v="15"/>
    <n v="50"/>
  </r>
  <r>
    <n v="3301"/>
    <s v="Júlia Ferreira"/>
    <x v="2"/>
    <d v="2024-05-06T00:00:00"/>
    <x v="0"/>
    <n v="10"/>
    <x v="0"/>
    <s v="No"/>
    <x v="1"/>
    <x v="0"/>
    <n v="20"/>
    <n v="5"/>
    <n v="25"/>
  </r>
  <r>
    <n v="3302"/>
    <s v="Karla Alves"/>
    <x v="1"/>
    <d v="2024-05-07T00:00:00"/>
    <x v="1"/>
    <n v="5"/>
    <x v="1"/>
    <s v="No"/>
    <x v="1"/>
    <x v="1"/>
    <n v="0"/>
    <n v="0"/>
    <n v="5"/>
  </r>
  <r>
    <n v="3303"/>
    <s v="Lucas Mendes"/>
    <x v="0"/>
    <d v="2024-05-08T00:00:00"/>
    <x v="0"/>
    <n v="15"/>
    <x v="2"/>
    <s v="Yes"/>
    <x v="0"/>
    <x v="0"/>
    <n v="20"/>
    <n v="20"/>
    <n v="45"/>
  </r>
  <r>
    <n v="3304"/>
    <s v="Mônica Gomes"/>
    <x v="2"/>
    <d v="2024-05-09T00:00:00"/>
    <x v="1"/>
    <n v="10"/>
    <x v="2"/>
    <s v="No"/>
    <x v="1"/>
    <x v="0"/>
    <n v="20"/>
    <n v="12"/>
    <n v="18"/>
  </r>
  <r>
    <n v="3305"/>
    <s v="Norberto Queiroz"/>
    <x v="1"/>
    <d v="2024-05-10T00:00:00"/>
    <x v="0"/>
    <n v="5"/>
    <x v="0"/>
    <s v="No"/>
    <x v="1"/>
    <x v="1"/>
    <n v="0"/>
    <n v="2"/>
    <n v="3"/>
  </r>
  <r>
    <n v="3306"/>
    <s v="Otávio Barros"/>
    <x v="0"/>
    <d v="2024-05-11T00:00:00"/>
    <x v="1"/>
    <n v="15"/>
    <x v="1"/>
    <s v="Yes"/>
    <x v="0"/>
    <x v="0"/>
    <n v="20"/>
    <n v="5"/>
    <n v="60"/>
  </r>
  <r>
    <n v="3307"/>
    <s v="Paula Vieira"/>
    <x v="2"/>
    <d v="2024-05-12T00:00:00"/>
    <x v="0"/>
    <n v="10"/>
    <x v="0"/>
    <s v="No"/>
    <x v="1"/>
    <x v="0"/>
    <n v="20"/>
    <n v="10"/>
    <n v="20"/>
  </r>
  <r>
    <n v="3308"/>
    <s v="Quentin Ramos"/>
    <x v="1"/>
    <d v="2024-05-13T00:00:00"/>
    <x v="1"/>
    <n v="5"/>
    <x v="2"/>
    <s v="No"/>
    <x v="1"/>
    <x v="1"/>
    <n v="0"/>
    <n v="0"/>
    <n v="5"/>
  </r>
  <r>
    <n v="3309"/>
    <s v="Raquel Novaes"/>
    <x v="0"/>
    <d v="2024-05-14T00:00:00"/>
    <x v="0"/>
    <n v="15"/>
    <x v="0"/>
    <s v="Yes"/>
    <x v="0"/>
    <x v="0"/>
    <n v="20"/>
    <n v="3"/>
    <n v="62"/>
  </r>
  <r>
    <n v="3310"/>
    <s v="Samantha Lopes"/>
    <x v="2"/>
    <d v="2024-05-15T00:00:00"/>
    <x v="1"/>
    <n v="10"/>
    <x v="1"/>
    <s v="No"/>
    <x v="1"/>
    <x v="0"/>
    <n v="20"/>
    <n v="15"/>
    <n v="15"/>
  </r>
  <r>
    <n v="3311"/>
    <s v="Tiago Martins"/>
    <x v="1"/>
    <d v="2024-05-16T00:00:00"/>
    <x v="0"/>
    <n v="5"/>
    <x v="0"/>
    <s v="No"/>
    <x v="1"/>
    <x v="1"/>
    <n v="0"/>
    <n v="1"/>
    <n v="4"/>
  </r>
  <r>
    <n v="3312"/>
    <s v="Ulysses Guimarães"/>
    <x v="0"/>
    <d v="2024-05-17T00:00:00"/>
    <x v="1"/>
    <n v="15"/>
    <x v="2"/>
    <s v="Yes"/>
    <x v="0"/>
    <x v="0"/>
    <n v="20"/>
    <n v="7"/>
    <n v="58"/>
  </r>
  <r>
    <n v="3313"/>
    <s v="Vanessa Silva"/>
    <x v="2"/>
    <d v="2024-05-18T00:00:00"/>
    <x v="0"/>
    <n v="10"/>
    <x v="0"/>
    <s v="No"/>
    <x v="1"/>
    <x v="0"/>
    <n v="20"/>
    <n v="10"/>
    <n v="20"/>
  </r>
  <r>
    <n v="3314"/>
    <s v="William Carneiro"/>
    <x v="1"/>
    <d v="2024-05-19T00:00:00"/>
    <x v="1"/>
    <n v="5"/>
    <x v="1"/>
    <s v="No"/>
    <x v="1"/>
    <x v="1"/>
    <n v="0"/>
    <n v="0"/>
    <n v="5"/>
  </r>
  <r>
    <n v="3315"/>
    <s v="Ximena Rocha"/>
    <x v="0"/>
    <d v="2024-05-20T00:00:00"/>
    <x v="0"/>
    <n v="15"/>
    <x v="0"/>
    <s v="Yes"/>
    <x v="0"/>
    <x v="0"/>
    <n v="20"/>
    <n v="20"/>
    <n v="45"/>
  </r>
  <r>
    <n v="3316"/>
    <s v="Yasmin Figueiredo"/>
    <x v="2"/>
    <d v="2024-05-21T00:00:00"/>
    <x v="1"/>
    <n v="10"/>
    <x v="2"/>
    <s v="No"/>
    <x v="1"/>
    <x v="0"/>
    <n v="20"/>
    <n v="15"/>
    <n v="15"/>
  </r>
  <r>
    <n v="3317"/>
    <s v="Zara Cunha"/>
    <x v="1"/>
    <d v="2024-05-22T00:00:00"/>
    <x v="0"/>
    <n v="5"/>
    <x v="0"/>
    <s v="No"/>
    <x v="1"/>
    <x v="1"/>
    <n v="0"/>
    <n v="1"/>
    <n v="4"/>
  </r>
  <r>
    <n v="3318"/>
    <s v="Alan Teixeira"/>
    <x v="0"/>
    <d v="2024-05-23T00:00:00"/>
    <x v="1"/>
    <n v="15"/>
    <x v="1"/>
    <s v="Yes"/>
    <x v="0"/>
    <x v="0"/>
    <n v="20"/>
    <n v="3"/>
    <n v="62"/>
  </r>
  <r>
    <n v="3319"/>
    <s v="Bárbara Oliveira"/>
    <x v="2"/>
    <d v="2024-05-24T00:00:00"/>
    <x v="0"/>
    <n v="10"/>
    <x v="0"/>
    <s v="No"/>
    <x v="1"/>
    <x v="0"/>
    <n v="20"/>
    <n v="10"/>
    <n v="20"/>
  </r>
  <r>
    <n v="3320"/>
    <s v="Carlos Junqueira"/>
    <x v="1"/>
    <d v="2024-05-25T00:00:00"/>
    <x v="1"/>
    <n v="5"/>
    <x v="2"/>
    <s v="No"/>
    <x v="1"/>
    <x v="1"/>
    <n v="0"/>
    <n v="0"/>
    <n v="5"/>
  </r>
  <r>
    <n v="3321"/>
    <s v="Daniela Moura"/>
    <x v="0"/>
    <d v="2024-05-26T00:00:00"/>
    <x v="0"/>
    <n v="15"/>
    <x v="0"/>
    <s v="Yes"/>
    <x v="0"/>
    <x v="0"/>
    <n v="20"/>
    <n v="5"/>
    <n v="60"/>
  </r>
  <r>
    <n v="3322"/>
    <s v="Eduardo Lima"/>
    <x v="2"/>
    <d v="2024-05-27T00:00:00"/>
    <x v="1"/>
    <n v="10"/>
    <x v="1"/>
    <s v="No"/>
    <x v="1"/>
    <x v="0"/>
    <n v="20"/>
    <n v="15"/>
    <n v="15"/>
  </r>
  <r>
    <n v="3323"/>
    <s v="Fabiana Araújo"/>
    <x v="1"/>
    <d v="2024-05-28T00:00:00"/>
    <x v="0"/>
    <n v="5"/>
    <x v="0"/>
    <s v="No"/>
    <x v="1"/>
    <x v="1"/>
    <n v="0"/>
    <n v="1"/>
    <n v="4"/>
  </r>
  <r>
    <n v="3324"/>
    <s v="Geraldo Ribeiro"/>
    <x v="0"/>
    <d v="2024-05-29T00:00:00"/>
    <x v="1"/>
    <n v="15"/>
    <x v="2"/>
    <s v="Yes"/>
    <x v="0"/>
    <x v="0"/>
    <n v="20"/>
    <n v="20"/>
    <n v="45"/>
  </r>
  <r>
    <n v="3325"/>
    <s v="Héctor Vargas"/>
    <x v="2"/>
    <d v="2024-05-30T00:00:00"/>
    <x v="0"/>
    <n v="10"/>
    <x v="2"/>
    <s v="No"/>
    <x v="1"/>
    <x v="0"/>
    <n v="20"/>
    <n v="15"/>
    <n v="15"/>
  </r>
  <r>
    <n v="3326"/>
    <s v="Isabela Fonseca"/>
    <x v="1"/>
    <d v="2024-05-31T00:00:00"/>
    <x v="1"/>
    <n v="5"/>
    <x v="1"/>
    <s v="No"/>
    <x v="1"/>
    <x v="1"/>
    <n v="0"/>
    <n v="0"/>
    <n v="5"/>
  </r>
  <r>
    <n v="3327"/>
    <s v="João Pedro Almeida"/>
    <x v="0"/>
    <d v="2024-06-01T00:00:00"/>
    <x v="0"/>
    <n v="15"/>
    <x v="0"/>
    <s v="Yes"/>
    <x v="0"/>
    <x v="0"/>
    <n v="20"/>
    <n v="7"/>
    <n v="58"/>
  </r>
  <r>
    <n v="3328"/>
    <s v="Klara Costa"/>
    <x v="2"/>
    <d v="2024-06-02T00:00:00"/>
    <x v="1"/>
    <n v="10"/>
    <x v="1"/>
    <s v="No"/>
    <x v="1"/>
    <x v="0"/>
    <n v="20"/>
    <n v="10"/>
    <n v="20"/>
  </r>
  <r>
    <n v="3329"/>
    <s v="Luciana Mendes"/>
    <x v="1"/>
    <d v="2024-06-03T00:00:00"/>
    <x v="0"/>
    <n v="5"/>
    <x v="2"/>
    <s v="No"/>
    <x v="1"/>
    <x v="1"/>
    <n v="0"/>
    <n v="1"/>
    <n v="4"/>
  </r>
  <r>
    <n v="3330"/>
    <s v="Marcelo Gouveia"/>
    <x v="0"/>
    <d v="2024-06-04T00:00:00"/>
    <x v="1"/>
    <n v="15"/>
    <x v="0"/>
    <s v="Yes"/>
    <x v="0"/>
    <x v="0"/>
    <n v="20"/>
    <n v="15"/>
    <n v="50"/>
  </r>
  <r>
    <n v="3331"/>
    <s v="Nívea Borges"/>
    <x v="2"/>
    <d v="2024-06-05T00:00:00"/>
    <x v="0"/>
    <n v="10"/>
    <x v="0"/>
    <s v="No"/>
    <x v="1"/>
    <x v="0"/>
    <n v="20"/>
    <n v="5"/>
    <n v="25"/>
  </r>
  <r>
    <n v="3332"/>
    <s v="Oscar Nogueira"/>
    <x v="1"/>
    <d v="2024-06-06T00:00:00"/>
    <x v="1"/>
    <n v="5"/>
    <x v="1"/>
    <s v="No"/>
    <x v="1"/>
    <x v="1"/>
    <n v="0"/>
    <n v="0"/>
    <n v="5"/>
  </r>
  <r>
    <n v="3333"/>
    <s v="Patrícia Alves"/>
    <x v="0"/>
    <d v="2024-06-07T00:00:00"/>
    <x v="0"/>
    <n v="15"/>
    <x v="2"/>
    <s v="Yes"/>
    <x v="0"/>
    <x v="0"/>
    <n v="20"/>
    <n v="20"/>
    <n v="45"/>
  </r>
  <r>
    <n v="3334"/>
    <s v="Rafaela Silva"/>
    <x v="2"/>
    <d v="2024-06-08T00:00:00"/>
    <x v="1"/>
    <n v="10"/>
    <x v="2"/>
    <s v="No"/>
    <x v="1"/>
    <x v="0"/>
    <n v="20"/>
    <n v="12"/>
    <n v="18"/>
  </r>
  <r>
    <n v="3335"/>
    <s v="Samantha Moraes"/>
    <x v="1"/>
    <d v="2024-06-09T00:00:00"/>
    <x v="0"/>
    <n v="5"/>
    <x v="0"/>
    <s v="No"/>
    <x v="1"/>
    <x v="1"/>
    <n v="0"/>
    <n v="2"/>
    <n v="3"/>
  </r>
  <r>
    <n v="3336"/>
    <s v="Tatiana Rocha"/>
    <x v="1"/>
    <d v="2024-06-10T00:00:00"/>
    <x v="0"/>
    <n v="5"/>
    <x v="0"/>
    <s v="No"/>
    <x v="1"/>
    <x v="1"/>
    <n v="0"/>
    <n v="0"/>
    <n v="5"/>
  </r>
  <r>
    <n v="3337"/>
    <s v="Ulisses Tavares"/>
    <x v="0"/>
    <d v="2024-06-11T00:00:00"/>
    <x v="1"/>
    <n v="15"/>
    <x v="2"/>
    <s v="Yes"/>
    <x v="0"/>
    <x v="0"/>
    <n v="20"/>
    <n v="7"/>
    <n v="58"/>
  </r>
  <r>
    <n v="3338"/>
    <s v="Víctor Lemos"/>
    <x v="2"/>
    <d v="2024-06-12T00:00:00"/>
    <x v="0"/>
    <n v="10"/>
    <x v="1"/>
    <s v="No"/>
    <x v="1"/>
    <x v="0"/>
    <n v="20"/>
    <n v="10"/>
    <n v="20"/>
  </r>
  <r>
    <n v="3339"/>
    <s v="Wilma Barros"/>
    <x v="1"/>
    <d v="2024-06-13T00:00:00"/>
    <x v="1"/>
    <n v="5"/>
    <x v="2"/>
    <s v="No"/>
    <x v="1"/>
    <x v="1"/>
    <n v="0"/>
    <n v="1"/>
    <n v="4"/>
  </r>
  <r>
    <n v="3340"/>
    <s v="Xavier Nascimento"/>
    <x v="0"/>
    <d v="2024-06-14T00:00:00"/>
    <x v="0"/>
    <n v="15"/>
    <x v="0"/>
    <s v="Yes"/>
    <x v="0"/>
    <x v="0"/>
    <n v="20"/>
    <n v="15"/>
    <n v="50"/>
  </r>
  <r>
    <n v="3341"/>
    <s v="Yago Pereira"/>
    <x v="2"/>
    <d v="2024-06-15T00:00:00"/>
    <x v="1"/>
    <n v="10"/>
    <x v="0"/>
    <s v="No"/>
    <x v="1"/>
    <x v="0"/>
    <n v="20"/>
    <n v="5"/>
    <n v="25"/>
  </r>
  <r>
    <n v="3342"/>
    <s v="Zilda Ferreira"/>
    <x v="1"/>
    <d v="2024-06-16T00:00:00"/>
    <x v="0"/>
    <n v="5"/>
    <x v="1"/>
    <s v="No"/>
    <x v="1"/>
    <x v="1"/>
    <n v="0"/>
    <n v="0"/>
    <n v="5"/>
  </r>
  <r>
    <n v="3343"/>
    <s v="Amanda Lopes"/>
    <x v="0"/>
    <d v="2024-06-17T00:00:00"/>
    <x v="1"/>
    <n v="15"/>
    <x v="2"/>
    <s v="Yes"/>
    <x v="0"/>
    <x v="0"/>
    <n v="20"/>
    <n v="20"/>
    <n v="45"/>
  </r>
  <r>
    <n v="3344"/>
    <s v="Bruno Miranda"/>
    <x v="2"/>
    <d v="2024-06-18T00:00:00"/>
    <x v="0"/>
    <n v="10"/>
    <x v="2"/>
    <s v="No"/>
    <x v="1"/>
    <x v="0"/>
    <n v="20"/>
    <n v="12"/>
    <n v="18"/>
  </r>
  <r>
    <n v="3345"/>
    <s v="Célia Torres"/>
    <x v="1"/>
    <d v="2024-06-19T00:00:00"/>
    <x v="1"/>
    <n v="5"/>
    <x v="0"/>
    <s v="No"/>
    <x v="1"/>
    <x v="1"/>
    <n v="0"/>
    <n v="2"/>
    <n v="3"/>
  </r>
  <r>
    <n v="3346"/>
    <s v="Diogo Souza"/>
    <x v="0"/>
    <d v="2024-06-20T00:00:00"/>
    <x v="0"/>
    <n v="15"/>
    <x v="1"/>
    <s v="Yes"/>
    <x v="0"/>
    <x v="0"/>
    <n v="20"/>
    <n v="5"/>
    <n v="60"/>
  </r>
  <r>
    <n v="3347"/>
    <s v="Elisa Castro"/>
    <x v="2"/>
    <d v="2024-06-21T00:00:00"/>
    <x v="1"/>
    <n v="10"/>
    <x v="0"/>
    <s v="No"/>
    <x v="1"/>
    <x v="0"/>
    <n v="20"/>
    <n v="10"/>
    <n v="20"/>
  </r>
  <r>
    <n v="3348"/>
    <s v="Fátima Lima"/>
    <x v="1"/>
    <d v="2024-06-22T00:00:00"/>
    <x v="0"/>
    <n v="5"/>
    <x v="2"/>
    <s v="No"/>
    <x v="1"/>
    <x v="1"/>
    <n v="0"/>
    <n v="0"/>
    <n v="5"/>
  </r>
  <r>
    <n v="3349"/>
    <s v="Geraldo Ribeiro"/>
    <x v="0"/>
    <d v="2024-06-23T00:00:00"/>
    <x v="1"/>
    <n v="15"/>
    <x v="0"/>
    <s v="Yes"/>
    <x v="0"/>
    <x v="0"/>
    <n v="20"/>
    <n v="3"/>
    <n v="62"/>
  </r>
  <r>
    <n v="3350"/>
    <s v="Hélio Martins"/>
    <x v="2"/>
    <d v="2024-06-24T00:00:00"/>
    <x v="0"/>
    <n v="10"/>
    <x v="1"/>
    <s v="No"/>
    <x v="1"/>
    <x v="0"/>
    <n v="20"/>
    <n v="15"/>
    <n v="15"/>
  </r>
  <r>
    <n v="3351"/>
    <s v="Íris Santos"/>
    <x v="1"/>
    <d v="2024-06-25T00:00:00"/>
    <x v="1"/>
    <n v="5"/>
    <x v="0"/>
    <s v="No"/>
    <x v="1"/>
    <x v="1"/>
    <n v="0"/>
    <n v="1"/>
    <n v="4"/>
  </r>
  <r>
    <n v="3352"/>
    <s v="João Marcelo"/>
    <x v="0"/>
    <d v="2024-06-26T00:00:00"/>
    <x v="0"/>
    <n v="15"/>
    <x v="2"/>
    <s v="Yes"/>
    <x v="0"/>
    <x v="0"/>
    <n v="20"/>
    <n v="7"/>
    <n v="58"/>
  </r>
  <r>
    <n v="3353"/>
    <s v="Larissa Gomes"/>
    <x v="2"/>
    <d v="2024-06-27T00:00:00"/>
    <x v="1"/>
    <n v="10"/>
    <x v="0"/>
    <s v="No"/>
    <x v="1"/>
    <x v="0"/>
    <n v="20"/>
    <n v="10"/>
    <n v="20"/>
  </r>
  <r>
    <n v="3354"/>
    <s v="Márcio Silva"/>
    <x v="1"/>
    <d v="2024-06-28T00:00:00"/>
    <x v="0"/>
    <n v="5"/>
    <x v="1"/>
    <s v="No"/>
    <x v="1"/>
    <x v="1"/>
    <n v="0"/>
    <n v="0"/>
    <n v="5"/>
  </r>
  <r>
    <n v="3355"/>
    <s v="Nadia Costa"/>
    <x v="0"/>
    <d v="2024-06-29T00:00:00"/>
    <x v="1"/>
    <n v="15"/>
    <x v="0"/>
    <s v="Yes"/>
    <x v="0"/>
    <x v="0"/>
    <n v="20"/>
    <n v="20"/>
    <n v="45"/>
  </r>
  <r>
    <n v="3356"/>
    <s v="Oscar Almeida"/>
    <x v="2"/>
    <d v="2024-06-30T00:00:00"/>
    <x v="0"/>
    <n v="10"/>
    <x v="2"/>
    <s v="No"/>
    <x v="1"/>
    <x v="0"/>
    <n v="20"/>
    <n v="15"/>
    <n v="15"/>
  </r>
  <r>
    <n v="3357"/>
    <s v="Patricia Soares"/>
    <x v="1"/>
    <d v="2024-07-01T00:00:00"/>
    <x v="1"/>
    <n v="5"/>
    <x v="0"/>
    <s v="No"/>
    <x v="1"/>
    <x v="1"/>
    <n v="0"/>
    <n v="1"/>
    <n v="4"/>
  </r>
  <r>
    <n v="3358"/>
    <s v="Quênia Barros"/>
    <x v="0"/>
    <d v="2024-07-02T00:00:00"/>
    <x v="0"/>
    <n v="15"/>
    <x v="1"/>
    <s v="Yes"/>
    <x v="0"/>
    <x v="0"/>
    <n v="20"/>
    <n v="3"/>
    <n v="62"/>
  </r>
  <r>
    <n v="3359"/>
    <s v="Rafael Torres"/>
    <x v="2"/>
    <d v="2024-07-03T00:00:00"/>
    <x v="1"/>
    <n v="10"/>
    <x v="0"/>
    <s v="No"/>
    <x v="1"/>
    <x v="0"/>
    <n v="20"/>
    <n v="10"/>
    <n v="20"/>
  </r>
  <r>
    <n v="3360"/>
    <s v="Silvia Nascimento"/>
    <x v="1"/>
    <d v="2024-07-04T00:00:00"/>
    <x v="0"/>
    <n v="5"/>
    <x v="2"/>
    <s v="No"/>
    <x v="1"/>
    <x v="1"/>
    <n v="0"/>
    <n v="0"/>
    <n v="5"/>
  </r>
  <r>
    <n v="3361"/>
    <s v="Tiago Mendes"/>
    <x v="0"/>
    <d v="2024-07-05T00:00:00"/>
    <x v="1"/>
    <n v="15"/>
    <x v="0"/>
    <s v="Yes"/>
    <x v="0"/>
    <x v="0"/>
    <n v="20"/>
    <n v="15"/>
    <n v="50"/>
  </r>
  <r>
    <n v="3362"/>
    <s v="Ursula Silva"/>
    <x v="2"/>
    <d v="2024-07-06T00:00:00"/>
    <x v="0"/>
    <n v="10"/>
    <x v="1"/>
    <s v="No"/>
    <x v="1"/>
    <x v="0"/>
    <n v="20"/>
    <n v="15"/>
    <n v="15"/>
  </r>
  <r>
    <n v="3363"/>
    <s v="Vanessa Moraes"/>
    <x v="1"/>
    <d v="2024-07-07T00:00:00"/>
    <x v="1"/>
    <n v="5"/>
    <x v="0"/>
    <s v="No"/>
    <x v="1"/>
    <x v="1"/>
    <n v="0"/>
    <n v="1"/>
    <n v="4"/>
  </r>
  <r>
    <n v="3364"/>
    <s v="Waldir Junior"/>
    <x v="0"/>
    <d v="2024-07-08T00:00:00"/>
    <x v="0"/>
    <n v="15"/>
    <x v="2"/>
    <s v="Yes"/>
    <x v="0"/>
    <x v="0"/>
    <n v="20"/>
    <n v="7"/>
    <n v="58"/>
  </r>
  <r>
    <n v="3365"/>
    <s v="Xavier Lopes"/>
    <x v="2"/>
    <d v="2024-07-09T00:00:00"/>
    <x v="1"/>
    <n v="10"/>
    <x v="0"/>
    <s v="No"/>
    <x v="1"/>
    <x v="0"/>
    <n v="20"/>
    <n v="10"/>
    <n v="20"/>
  </r>
  <r>
    <n v="3366"/>
    <s v="Yolanda Freitas"/>
    <x v="1"/>
    <d v="2024-07-10T00:00:00"/>
    <x v="0"/>
    <n v="5"/>
    <x v="0"/>
    <s v="No"/>
    <x v="1"/>
    <x v="1"/>
    <n v="0"/>
    <n v="0"/>
    <n v="5"/>
  </r>
  <r>
    <n v="3367"/>
    <s v="Zacarias Nunes"/>
    <x v="0"/>
    <d v="2024-07-11T00:00:00"/>
    <x v="1"/>
    <n v="15"/>
    <x v="2"/>
    <s v="Yes"/>
    <x v="0"/>
    <x v="0"/>
    <n v="20"/>
    <n v="7"/>
    <n v="58"/>
  </r>
  <r>
    <n v="3368"/>
    <s v="Ana Clara Barreto"/>
    <x v="2"/>
    <d v="2024-07-12T00:00:00"/>
    <x v="0"/>
    <n v="10"/>
    <x v="1"/>
    <s v="No"/>
    <x v="1"/>
    <x v="0"/>
    <n v="20"/>
    <n v="10"/>
    <n v="20"/>
  </r>
  <r>
    <n v="3369"/>
    <s v="Bruno Henrique"/>
    <x v="1"/>
    <d v="2024-07-13T00:00:00"/>
    <x v="1"/>
    <n v="5"/>
    <x v="2"/>
    <s v="No"/>
    <x v="1"/>
    <x v="1"/>
    <n v="0"/>
    <n v="1"/>
    <n v="4"/>
  </r>
  <r>
    <n v="3370"/>
    <s v="Carlos Eduardo"/>
    <x v="0"/>
    <d v="2024-07-14T00:00:00"/>
    <x v="0"/>
    <n v="15"/>
    <x v="0"/>
    <s v="Yes"/>
    <x v="0"/>
    <x v="0"/>
    <n v="20"/>
    <n v="15"/>
    <n v="50"/>
  </r>
  <r>
    <n v="3371"/>
    <s v="Débora Lima"/>
    <x v="2"/>
    <d v="2024-07-15T00:00:00"/>
    <x v="1"/>
    <n v="10"/>
    <x v="0"/>
    <s v="No"/>
    <x v="1"/>
    <x v="0"/>
    <n v="20"/>
    <n v="5"/>
    <n v="25"/>
  </r>
  <r>
    <n v="3372"/>
    <s v="Elisa Neves"/>
    <x v="1"/>
    <d v="2024-07-16T00:00:00"/>
    <x v="0"/>
    <n v="5"/>
    <x v="1"/>
    <s v="No"/>
    <x v="1"/>
    <x v="1"/>
    <n v="0"/>
    <n v="0"/>
    <n v="5"/>
  </r>
  <r>
    <n v="3373"/>
    <s v="Fabiano Gomes"/>
    <x v="0"/>
    <d v="2024-07-17T00:00:00"/>
    <x v="1"/>
    <n v="15"/>
    <x v="2"/>
    <s v="Yes"/>
    <x v="0"/>
    <x v="0"/>
    <n v="20"/>
    <n v="20"/>
    <n v="45"/>
  </r>
  <r>
    <n v="3374"/>
    <s v="Gisele Oliveira"/>
    <x v="2"/>
    <d v="2024-07-18T00:00:00"/>
    <x v="0"/>
    <n v="10"/>
    <x v="2"/>
    <s v="No"/>
    <x v="1"/>
    <x v="0"/>
    <n v="20"/>
    <n v="12"/>
    <n v="18"/>
  </r>
  <r>
    <n v="3375"/>
    <s v="Héctor Silva"/>
    <x v="1"/>
    <d v="2024-07-19T00:00:00"/>
    <x v="1"/>
    <n v="5"/>
    <x v="0"/>
    <s v="No"/>
    <x v="1"/>
    <x v="1"/>
    <n v="0"/>
    <n v="2"/>
    <n v="3"/>
  </r>
  <r>
    <n v="3376"/>
    <s v="Igor Martins"/>
    <x v="0"/>
    <d v="2024-07-20T00:00:00"/>
    <x v="0"/>
    <n v="15"/>
    <x v="1"/>
    <s v="Yes"/>
    <x v="0"/>
    <x v="0"/>
    <n v="20"/>
    <n v="5"/>
    <n v="60"/>
  </r>
  <r>
    <n v="3377"/>
    <s v="Joana Figueiredo"/>
    <x v="2"/>
    <d v="2024-07-21T00:00:00"/>
    <x v="1"/>
    <n v="10"/>
    <x v="0"/>
    <s v="No"/>
    <x v="1"/>
    <x v="0"/>
    <n v="20"/>
    <n v="10"/>
    <n v="20"/>
  </r>
  <r>
    <n v="3378"/>
    <s v="Kleber Machado"/>
    <x v="1"/>
    <d v="2024-07-22T00:00:00"/>
    <x v="0"/>
    <n v="5"/>
    <x v="2"/>
    <s v="No"/>
    <x v="1"/>
    <x v="1"/>
    <n v="0"/>
    <n v="0"/>
    <n v="5"/>
  </r>
  <r>
    <n v="3379"/>
    <s v="Luciana Santos"/>
    <x v="0"/>
    <d v="2024-07-23T00:00:00"/>
    <x v="1"/>
    <n v="15"/>
    <x v="0"/>
    <s v="Yes"/>
    <x v="0"/>
    <x v="0"/>
    <n v="20"/>
    <n v="3"/>
    <n v="62"/>
  </r>
  <r>
    <n v="3380"/>
    <s v="Marcos Teixeira"/>
    <x v="2"/>
    <d v="2024-07-24T00:00:00"/>
    <x v="0"/>
    <n v="10"/>
    <x v="1"/>
    <s v="No"/>
    <x v="1"/>
    <x v="0"/>
    <n v="20"/>
    <n v="15"/>
    <n v="15"/>
  </r>
  <r>
    <n v="3381"/>
    <s v="Natalia Costa"/>
    <x v="1"/>
    <d v="2024-07-25T00:00:00"/>
    <x v="1"/>
    <n v="5"/>
    <x v="0"/>
    <s v="No"/>
    <x v="1"/>
    <x v="1"/>
    <n v="0"/>
    <n v="1"/>
    <n v="4"/>
  </r>
  <r>
    <n v="3382"/>
    <s v="Oscar Ribeiro"/>
    <x v="0"/>
    <d v="2024-07-26T00:00:00"/>
    <x v="0"/>
    <n v="15"/>
    <x v="2"/>
    <s v="Yes"/>
    <x v="0"/>
    <x v="0"/>
    <n v="20"/>
    <n v="7"/>
    <n v="58"/>
  </r>
  <r>
    <n v="3383"/>
    <s v="Patricia Almeida"/>
    <x v="2"/>
    <d v="2024-07-27T00:00:00"/>
    <x v="1"/>
    <n v="10"/>
    <x v="0"/>
    <s v="No"/>
    <x v="1"/>
    <x v="0"/>
    <n v="20"/>
    <n v="10"/>
    <n v="20"/>
  </r>
  <r>
    <n v="3384"/>
    <s v="Quirino Junior"/>
    <x v="1"/>
    <d v="2024-07-28T00:00:00"/>
    <x v="0"/>
    <n v="5"/>
    <x v="1"/>
    <s v="No"/>
    <x v="1"/>
    <x v="1"/>
    <n v="0"/>
    <n v="0"/>
    <n v="5"/>
  </r>
  <r>
    <n v="3385"/>
    <s v="Renata Machado"/>
    <x v="0"/>
    <d v="2024-07-29T00:00:00"/>
    <x v="1"/>
    <n v="15"/>
    <x v="0"/>
    <s v="Yes"/>
    <x v="0"/>
    <x v="0"/>
    <n v="20"/>
    <n v="20"/>
    <n v="45"/>
  </r>
  <r>
    <n v="3386"/>
    <s v="Sônia Alves"/>
    <x v="2"/>
    <d v="2024-07-30T00:00:00"/>
    <x v="0"/>
    <n v="10"/>
    <x v="2"/>
    <s v="No"/>
    <x v="1"/>
    <x v="0"/>
    <n v="20"/>
    <n v="15"/>
    <n v="15"/>
  </r>
  <r>
    <n v="3387"/>
    <s v="Tiago Nunes"/>
    <x v="1"/>
    <d v="2024-07-31T00:00:00"/>
    <x v="1"/>
    <n v="5"/>
    <x v="0"/>
    <s v="No"/>
    <x v="1"/>
    <x v="1"/>
    <n v="0"/>
    <n v="1"/>
    <n v="4"/>
  </r>
  <r>
    <n v="3388"/>
    <s v="Ulysses Pereira"/>
    <x v="0"/>
    <d v="2024-08-01T00:00:00"/>
    <x v="0"/>
    <n v="15"/>
    <x v="1"/>
    <s v="Yes"/>
    <x v="0"/>
    <x v="0"/>
    <n v="20"/>
    <n v="3"/>
    <n v="62"/>
  </r>
  <r>
    <n v="3389"/>
    <s v="Vanessa Lima"/>
    <x v="2"/>
    <d v="2024-08-02T00:00:00"/>
    <x v="1"/>
    <n v="10"/>
    <x v="0"/>
    <s v="No"/>
    <x v="1"/>
    <x v="0"/>
    <n v="20"/>
    <n v="10"/>
    <n v="20"/>
  </r>
  <r>
    <n v="3390"/>
    <s v="Wagner Santos"/>
    <x v="1"/>
    <d v="2024-08-03T00:00:00"/>
    <x v="0"/>
    <n v="5"/>
    <x v="2"/>
    <s v="No"/>
    <x v="1"/>
    <x v="1"/>
    <n v="0"/>
    <n v="0"/>
    <n v="5"/>
  </r>
  <r>
    <n v="3391"/>
    <s v="Xuxa Meneghel"/>
    <x v="0"/>
    <d v="2024-08-04T00:00:00"/>
    <x v="1"/>
    <n v="15"/>
    <x v="0"/>
    <s v="Yes"/>
    <x v="0"/>
    <x v="0"/>
    <n v="20"/>
    <n v="15"/>
    <n v="50"/>
  </r>
  <r>
    <n v="3392"/>
    <s v="Yasmin Silva"/>
    <x v="2"/>
    <d v="2024-08-05T00:00:00"/>
    <x v="0"/>
    <n v="10"/>
    <x v="1"/>
    <s v="No"/>
    <x v="1"/>
    <x v="0"/>
    <n v="20"/>
    <n v="15"/>
    <n v="15"/>
  </r>
  <r>
    <n v="3393"/>
    <s v="Zacarias de Souza"/>
    <x v="1"/>
    <d v="2024-08-06T00:00:00"/>
    <x v="1"/>
    <n v="5"/>
    <x v="0"/>
    <s v="No"/>
    <x v="1"/>
    <x v="1"/>
    <n v="0"/>
    <n v="1"/>
    <n v="4"/>
  </r>
  <r>
    <n v="3394"/>
    <s v="André Lima"/>
    <x v="0"/>
    <d v="2024-08-07T00:00:00"/>
    <x v="0"/>
    <n v="15"/>
    <x v="2"/>
    <s v="Yes"/>
    <x v="0"/>
    <x v="0"/>
    <n v="20"/>
    <n v="7"/>
    <n v="58"/>
  </r>
  <r>
    <n v="3395"/>
    <s v="Bianca Freitas"/>
    <x v="2"/>
    <d v="2024-08-08T00:00:00"/>
    <x v="1"/>
    <n v="10"/>
    <x v="0"/>
    <s v="No"/>
    <x v="1"/>
    <x v="0"/>
    <n v="20"/>
    <n v="10"/>
    <n v="20"/>
  </r>
  <r>
    <n v="3396"/>
    <s v="Caio Mendes"/>
    <x v="1"/>
    <d v="2024-08-09T00:00:00"/>
    <x v="0"/>
    <n v="5"/>
    <x v="1"/>
    <s v="No"/>
    <x v="1"/>
    <x v="1"/>
    <n v="0"/>
    <n v="0"/>
    <n v="5"/>
  </r>
  <r>
    <n v="3397"/>
    <s v="Daniela Moura"/>
    <x v="0"/>
    <d v="2024-08-10T00:00:00"/>
    <x v="1"/>
    <n v="15"/>
    <x v="0"/>
    <s v="Yes"/>
    <x v="0"/>
    <x v="0"/>
    <n v="20"/>
    <n v="20"/>
    <n v="45"/>
  </r>
  <r>
    <n v="3398"/>
    <s v="Eduardo Costa"/>
    <x v="2"/>
    <d v="2024-08-11T00:00:00"/>
    <x v="0"/>
    <n v="10"/>
    <x v="2"/>
    <s v="No"/>
    <x v="1"/>
    <x v="0"/>
    <n v="20"/>
    <n v="15"/>
    <n v="15"/>
  </r>
  <r>
    <n v="3399"/>
    <s v="Fernanda Gomes"/>
    <x v="1"/>
    <d v="2024-08-12T00:00:00"/>
    <x v="1"/>
    <n v="5"/>
    <x v="0"/>
    <s v="No"/>
    <x v="1"/>
    <x v="1"/>
    <n v="0"/>
    <n v="1"/>
    <n v="4"/>
  </r>
  <r>
    <n v="3400"/>
    <s v="Guilherme Souza"/>
    <x v="0"/>
    <d v="2024-08-13T00:00:00"/>
    <x v="0"/>
    <n v="15"/>
    <x v="1"/>
    <s v="Yes"/>
    <x v="0"/>
    <x v="0"/>
    <n v="20"/>
    <n v="5"/>
    <n v="60"/>
  </r>
  <r>
    <n v="3401"/>
    <s v="Helena Ribeiro"/>
    <x v="2"/>
    <d v="2024-08-14T00:00:00"/>
    <x v="1"/>
    <n v="10"/>
    <x v="0"/>
    <s v="No"/>
    <x v="1"/>
    <x v="0"/>
    <n v="20"/>
    <n v="10"/>
    <n v="20"/>
  </r>
  <r>
    <n v="3402"/>
    <s v="Igor Santos"/>
    <x v="1"/>
    <d v="2024-08-15T00:00:00"/>
    <x v="0"/>
    <n v="5"/>
    <x v="2"/>
    <s v="No"/>
    <x v="1"/>
    <x v="1"/>
    <n v="0"/>
    <n v="0"/>
    <n v="5"/>
  </r>
  <r>
    <n v="3403"/>
    <s v="João Carvalho"/>
    <x v="0"/>
    <d v="2024-08-16T00:00:00"/>
    <x v="1"/>
    <n v="15"/>
    <x v="0"/>
    <s v="Yes"/>
    <x v="0"/>
    <x v="0"/>
    <n v="20"/>
    <n v="3"/>
    <n v="62"/>
  </r>
  <r>
    <n v="3404"/>
    <s v="Klara Fagundes"/>
    <x v="2"/>
    <d v="2024-08-17T00:00:00"/>
    <x v="0"/>
    <n v="10"/>
    <x v="1"/>
    <s v="No"/>
    <x v="1"/>
    <x v="0"/>
    <n v="20"/>
    <n v="15"/>
    <n v="15"/>
  </r>
  <r>
    <n v="3405"/>
    <s v="Lúcia Mendonça"/>
    <x v="1"/>
    <d v="2024-08-18T00:00:00"/>
    <x v="1"/>
    <n v="5"/>
    <x v="0"/>
    <s v="No"/>
    <x v="1"/>
    <x v="1"/>
    <n v="0"/>
    <n v="1"/>
    <n v="4"/>
  </r>
  <r>
    <n v="3406"/>
    <s v="Marcelo Novaes"/>
    <x v="1"/>
    <d v="2024-08-19T00:00:00"/>
    <x v="0"/>
    <n v="5"/>
    <x v="0"/>
    <s v="No"/>
    <x v="1"/>
    <x v="1"/>
    <n v="0"/>
    <n v="0"/>
    <n v="5"/>
  </r>
  <r>
    <n v="3407"/>
    <s v="Nina Pacheco"/>
    <x v="0"/>
    <d v="2024-08-20T00:00:00"/>
    <x v="1"/>
    <n v="15"/>
    <x v="2"/>
    <s v="Yes"/>
    <x v="0"/>
    <x v="0"/>
    <n v="20"/>
    <n v="7"/>
    <n v="58"/>
  </r>
  <r>
    <n v="3408"/>
    <s v="Olívia Rios"/>
    <x v="2"/>
    <d v="2024-08-21T00:00:00"/>
    <x v="0"/>
    <n v="10"/>
    <x v="1"/>
    <s v="No"/>
    <x v="1"/>
    <x v="0"/>
    <n v="20"/>
    <n v="10"/>
    <n v="20"/>
  </r>
  <r>
    <n v="3409"/>
    <s v="Paulo Quintana"/>
    <x v="1"/>
    <d v="2024-08-22T00:00:00"/>
    <x v="1"/>
    <n v="5"/>
    <x v="2"/>
    <s v="No"/>
    <x v="1"/>
    <x v="1"/>
    <n v="0"/>
    <n v="1"/>
    <n v="4"/>
  </r>
  <r>
    <n v="3410"/>
    <s v="Raquel Domingos"/>
    <x v="0"/>
    <d v="2024-08-23T00:00:00"/>
    <x v="0"/>
    <n v="15"/>
    <x v="0"/>
    <s v="Yes"/>
    <x v="0"/>
    <x v="0"/>
    <n v="20"/>
    <n v="15"/>
    <n v="50"/>
  </r>
  <r>
    <n v="3411"/>
    <s v="Samuel Viana"/>
    <x v="2"/>
    <d v="2024-08-24T00:00:00"/>
    <x v="1"/>
    <n v="10"/>
    <x v="0"/>
    <s v="No"/>
    <x v="1"/>
    <x v="0"/>
    <n v="20"/>
    <n v="5"/>
    <n v="25"/>
  </r>
  <r>
    <n v="3412"/>
    <s v="Tatiane Rocha"/>
    <x v="1"/>
    <d v="2024-08-25T00:00:00"/>
    <x v="0"/>
    <n v="5"/>
    <x v="1"/>
    <s v="No"/>
    <x v="1"/>
    <x v="1"/>
    <n v="0"/>
    <n v="0"/>
    <n v="5"/>
  </r>
  <r>
    <n v="3413"/>
    <s v="Ulysses Farias"/>
    <x v="0"/>
    <d v="2024-08-26T00:00:00"/>
    <x v="1"/>
    <n v="15"/>
    <x v="2"/>
    <s v="Yes"/>
    <x v="0"/>
    <x v="0"/>
    <n v="20"/>
    <n v="20"/>
    <n v="45"/>
  </r>
  <r>
    <n v="3414"/>
    <s v="Vanessa Moreira"/>
    <x v="2"/>
    <d v="2024-08-27T00:00:00"/>
    <x v="0"/>
    <n v="10"/>
    <x v="2"/>
    <s v="No"/>
    <x v="1"/>
    <x v="0"/>
    <n v="20"/>
    <n v="12"/>
    <n v="18"/>
  </r>
  <r>
    <n v="3415"/>
    <s v="William Carvalho"/>
    <x v="1"/>
    <d v="2024-08-28T00:00:00"/>
    <x v="1"/>
    <n v="5"/>
    <x v="0"/>
    <s v="No"/>
    <x v="1"/>
    <x v="1"/>
    <n v="0"/>
    <n v="2"/>
    <n v="3"/>
  </r>
  <r>
    <n v="3416"/>
    <s v="Ximena Barros"/>
    <x v="0"/>
    <d v="2024-08-29T00:00:00"/>
    <x v="0"/>
    <n v="15"/>
    <x v="1"/>
    <s v="Yes"/>
    <x v="0"/>
    <x v="0"/>
    <n v="20"/>
    <n v="5"/>
    <n v="60"/>
  </r>
  <r>
    <n v="3417"/>
    <s v="Yara Machado"/>
    <x v="2"/>
    <d v="2024-08-30T00:00:00"/>
    <x v="1"/>
    <n v="10"/>
    <x v="0"/>
    <s v="No"/>
    <x v="1"/>
    <x v="0"/>
    <n v="20"/>
    <n v="10"/>
    <n v="20"/>
  </r>
  <r>
    <n v="3418"/>
    <s v="Zacarias Costa"/>
    <x v="1"/>
    <d v="2024-08-31T00:00:00"/>
    <x v="0"/>
    <n v="5"/>
    <x v="2"/>
    <s v="No"/>
    <x v="1"/>
    <x v="1"/>
    <n v="0"/>
    <n v="0"/>
    <n v="5"/>
  </r>
  <r>
    <n v="3419"/>
    <s v="André Lopes"/>
    <x v="0"/>
    <d v="2024-09-01T00:00:00"/>
    <x v="1"/>
    <n v="15"/>
    <x v="0"/>
    <s v="Yes"/>
    <x v="0"/>
    <x v="0"/>
    <n v="20"/>
    <n v="3"/>
    <n v="62"/>
  </r>
  <r>
    <n v="3420"/>
    <s v="Beatriz Souza"/>
    <x v="2"/>
    <d v="2024-09-02T00:00:00"/>
    <x v="0"/>
    <n v="10"/>
    <x v="1"/>
    <s v="No"/>
    <x v="1"/>
    <x v="0"/>
    <n v="20"/>
    <n v="15"/>
    <n v="15"/>
  </r>
  <r>
    <n v="3421"/>
    <s v="Caio Pereira"/>
    <x v="1"/>
    <d v="2024-09-03T00:00:00"/>
    <x v="1"/>
    <n v="5"/>
    <x v="0"/>
    <s v="No"/>
    <x v="1"/>
    <x v="1"/>
    <n v="0"/>
    <n v="1"/>
    <n v="4"/>
  </r>
  <r>
    <n v="3422"/>
    <s v="Daniela Araújo"/>
    <x v="0"/>
    <d v="2024-09-04T00:00:00"/>
    <x v="0"/>
    <n v="15"/>
    <x v="2"/>
    <s v="Yes"/>
    <x v="0"/>
    <x v="0"/>
    <n v="20"/>
    <n v="7"/>
    <n v="58"/>
  </r>
  <r>
    <n v="3423"/>
    <s v="Eduardo Santos"/>
    <x v="2"/>
    <d v="2024-09-05T00:00:00"/>
    <x v="1"/>
    <n v="10"/>
    <x v="0"/>
    <s v="No"/>
    <x v="1"/>
    <x v="0"/>
    <n v="20"/>
    <n v="10"/>
    <n v="20"/>
  </r>
  <r>
    <n v="3424"/>
    <s v="Fernanda Lima"/>
    <x v="1"/>
    <d v="2024-09-06T00:00:00"/>
    <x v="0"/>
    <n v="5"/>
    <x v="1"/>
    <s v="No"/>
    <x v="1"/>
    <x v="1"/>
    <n v="0"/>
    <n v="0"/>
    <n v="5"/>
  </r>
  <r>
    <n v="3425"/>
    <s v="Gabriel Teixeira"/>
    <x v="0"/>
    <d v="2024-09-07T00:00:00"/>
    <x v="1"/>
    <n v="15"/>
    <x v="0"/>
    <s v="Yes"/>
    <x v="0"/>
    <x v="0"/>
    <n v="20"/>
    <n v="20"/>
    <n v="45"/>
  </r>
  <r>
    <n v="3426"/>
    <s v="Helena Ribeiro"/>
    <x v="2"/>
    <d v="2024-09-08T00:00:00"/>
    <x v="0"/>
    <n v="10"/>
    <x v="2"/>
    <s v="No"/>
    <x v="1"/>
    <x v="0"/>
    <n v="20"/>
    <n v="15"/>
    <n v="15"/>
  </r>
  <r>
    <n v="3427"/>
    <s v="Igor Mendes"/>
    <x v="1"/>
    <d v="2024-09-09T00:00:00"/>
    <x v="1"/>
    <n v="5"/>
    <x v="0"/>
    <s v="No"/>
    <x v="1"/>
    <x v="1"/>
    <n v="0"/>
    <n v="1"/>
    <n v="4"/>
  </r>
  <r>
    <n v="3428"/>
    <s v="Joana Silveira"/>
    <x v="0"/>
    <d v="2024-09-10T00:00:00"/>
    <x v="0"/>
    <n v="15"/>
    <x v="1"/>
    <s v="Yes"/>
    <x v="0"/>
    <x v="0"/>
    <n v="20"/>
    <n v="3"/>
    <n v="62"/>
  </r>
  <r>
    <n v="3429"/>
    <s v="Lucas Martins"/>
    <x v="2"/>
    <d v="2024-09-11T00:00:00"/>
    <x v="1"/>
    <n v="10"/>
    <x v="0"/>
    <s v="No"/>
    <x v="1"/>
    <x v="0"/>
    <n v="20"/>
    <n v="10"/>
    <n v="20"/>
  </r>
  <r>
    <n v="3430"/>
    <s v="Marcela Gouveia"/>
    <x v="1"/>
    <d v="2024-09-12T00:00:00"/>
    <x v="0"/>
    <n v="5"/>
    <x v="2"/>
    <s v="No"/>
    <x v="1"/>
    <x v="1"/>
    <n v="0"/>
    <n v="0"/>
    <n v="5"/>
  </r>
  <r>
    <n v="3431"/>
    <s v="Nicolas Borges"/>
    <x v="0"/>
    <d v="2024-09-13T00:00:00"/>
    <x v="1"/>
    <n v="15"/>
    <x v="0"/>
    <s v="Yes"/>
    <x v="0"/>
    <x v="0"/>
    <n v="20"/>
    <n v="15"/>
    <n v="50"/>
  </r>
  <r>
    <n v="3432"/>
    <s v="Olivia Freitas"/>
    <x v="2"/>
    <d v="2024-09-14T00:00:00"/>
    <x v="0"/>
    <n v="10"/>
    <x v="1"/>
    <s v="No"/>
    <x v="1"/>
    <x v="0"/>
    <n v="20"/>
    <n v="15"/>
    <n v="15"/>
  </r>
  <r>
    <n v="3433"/>
    <s v="Paulo Nogueira"/>
    <x v="1"/>
    <d v="2024-09-15T00:00:00"/>
    <x v="1"/>
    <n v="5"/>
    <x v="0"/>
    <s v="No"/>
    <x v="1"/>
    <x v="1"/>
    <n v="0"/>
    <n v="1"/>
    <n v="4"/>
  </r>
  <r>
    <n v="3434"/>
    <s v="Raquel Andrade"/>
    <x v="0"/>
    <d v="2024-09-16T00:00:00"/>
    <x v="0"/>
    <n v="15"/>
    <x v="2"/>
    <s v="Yes"/>
    <x v="0"/>
    <x v="0"/>
    <n v="20"/>
    <n v="7"/>
    <n v="58"/>
  </r>
  <r>
    <n v="3435"/>
    <s v="Sônia Carvalho"/>
    <x v="2"/>
    <d v="2024-09-17T00:00:00"/>
    <x v="1"/>
    <n v="10"/>
    <x v="0"/>
    <s v="No"/>
    <x v="1"/>
    <x v="0"/>
    <n v="20"/>
    <n v="10"/>
    <n v="20"/>
  </r>
  <r>
    <n v="3436"/>
    <s v="Tiago Rodrigues"/>
    <x v="1"/>
    <d v="2024-09-18T00:00:00"/>
    <x v="0"/>
    <n v="5"/>
    <x v="0"/>
    <s v="No"/>
    <x v="1"/>
    <x v="1"/>
    <n v="0"/>
    <n v="0"/>
    <n v="5"/>
  </r>
  <r>
    <n v="3437"/>
    <s v="Ursula Monteiro"/>
    <x v="0"/>
    <d v="2024-09-19T00:00:00"/>
    <x v="1"/>
    <n v="15"/>
    <x v="2"/>
    <s v="Yes"/>
    <x v="0"/>
    <x v="0"/>
    <n v="20"/>
    <n v="7"/>
    <n v="58"/>
  </r>
  <r>
    <n v="3438"/>
    <s v="Vanessa Pereira"/>
    <x v="2"/>
    <d v="2024-09-20T00:00:00"/>
    <x v="0"/>
    <n v="10"/>
    <x v="1"/>
    <s v="No"/>
    <x v="1"/>
    <x v="0"/>
    <n v="20"/>
    <n v="10"/>
    <n v="20"/>
  </r>
  <r>
    <n v="3439"/>
    <s v="Walter Silva"/>
    <x v="1"/>
    <d v="2024-09-21T00:00:00"/>
    <x v="1"/>
    <n v="5"/>
    <x v="2"/>
    <s v="No"/>
    <x v="1"/>
    <x v="1"/>
    <n v="0"/>
    <n v="1"/>
    <n v="4"/>
  </r>
  <r>
    <n v="3440"/>
    <s v="Xavier Almeida"/>
    <x v="0"/>
    <d v="2024-09-22T00:00:00"/>
    <x v="0"/>
    <n v="15"/>
    <x v="0"/>
    <s v="Yes"/>
    <x v="0"/>
    <x v="0"/>
    <n v="20"/>
    <n v="15"/>
    <n v="50"/>
  </r>
  <r>
    <n v="3441"/>
    <s v="Yasmine Correia"/>
    <x v="2"/>
    <d v="2024-09-23T00:00:00"/>
    <x v="1"/>
    <n v="10"/>
    <x v="0"/>
    <s v="No"/>
    <x v="1"/>
    <x v="0"/>
    <n v="20"/>
    <n v="5"/>
    <n v="25"/>
  </r>
  <r>
    <n v="3442"/>
    <s v="Zacarias Almeida"/>
    <x v="1"/>
    <d v="2024-09-24T00:00:00"/>
    <x v="0"/>
    <n v="5"/>
    <x v="1"/>
    <s v="No"/>
    <x v="1"/>
    <x v="1"/>
    <n v="0"/>
    <n v="0"/>
    <n v="5"/>
  </r>
  <r>
    <n v="3443"/>
    <s v="Amanda Costa"/>
    <x v="0"/>
    <d v="2024-09-25T00:00:00"/>
    <x v="1"/>
    <n v="15"/>
    <x v="2"/>
    <s v="Yes"/>
    <x v="0"/>
    <x v="0"/>
    <n v="20"/>
    <n v="20"/>
    <n v="45"/>
  </r>
  <r>
    <n v="3444"/>
    <s v="Bruno Ferreira"/>
    <x v="2"/>
    <d v="2024-09-26T00:00:00"/>
    <x v="0"/>
    <n v="10"/>
    <x v="2"/>
    <s v="No"/>
    <x v="1"/>
    <x v="0"/>
    <n v="20"/>
    <n v="12"/>
    <n v="18"/>
  </r>
  <r>
    <n v="3445"/>
    <s v="Carla Dias"/>
    <x v="1"/>
    <d v="2024-09-27T00:00:00"/>
    <x v="1"/>
    <n v="5"/>
    <x v="0"/>
    <s v="No"/>
    <x v="1"/>
    <x v="1"/>
    <n v="0"/>
    <n v="2"/>
    <n v="3"/>
  </r>
  <r>
    <n v="3446"/>
    <s v="Diogo Martins"/>
    <x v="0"/>
    <d v="2024-09-28T00:00:00"/>
    <x v="0"/>
    <n v="15"/>
    <x v="1"/>
    <s v="Yes"/>
    <x v="0"/>
    <x v="0"/>
    <n v="20"/>
    <n v="5"/>
    <n v="60"/>
  </r>
  <r>
    <n v="3447"/>
    <s v="Elisa Campos"/>
    <x v="2"/>
    <d v="2024-09-29T00:00:00"/>
    <x v="1"/>
    <n v="10"/>
    <x v="0"/>
    <s v="No"/>
    <x v="1"/>
    <x v="0"/>
    <n v="20"/>
    <n v="10"/>
    <n v="20"/>
  </r>
  <r>
    <n v="3448"/>
    <s v="Fabiana Lima"/>
    <x v="1"/>
    <d v="2024-09-30T00:00:00"/>
    <x v="0"/>
    <n v="5"/>
    <x v="2"/>
    <s v="No"/>
    <x v="1"/>
    <x v="1"/>
    <n v="0"/>
    <n v="0"/>
    <n v="5"/>
  </r>
  <r>
    <n v="3449"/>
    <s v="Gabriel Santos"/>
    <x v="0"/>
    <d v="2024-10-01T00:00:00"/>
    <x v="1"/>
    <n v="15"/>
    <x v="0"/>
    <s v="Yes"/>
    <x v="0"/>
    <x v="0"/>
    <n v="20"/>
    <n v="3"/>
    <n v="62"/>
  </r>
  <r>
    <n v="3450"/>
    <s v="Helena Ferreira"/>
    <x v="2"/>
    <d v="2024-10-02T00:00:00"/>
    <x v="0"/>
    <n v="10"/>
    <x v="1"/>
    <s v="No"/>
    <x v="1"/>
    <x v="0"/>
    <n v="20"/>
    <n v="15"/>
    <n v="15"/>
  </r>
  <r>
    <n v="3451"/>
    <s v="Ígor Nunes"/>
    <x v="1"/>
    <d v="2024-10-03T00:00:00"/>
    <x v="1"/>
    <n v="5"/>
    <x v="0"/>
    <s v="No"/>
    <x v="1"/>
    <x v="1"/>
    <n v="0"/>
    <n v="1"/>
    <n v="4"/>
  </r>
  <r>
    <n v="3452"/>
    <s v="Joana Silveira"/>
    <x v="0"/>
    <d v="2024-10-04T00:00:00"/>
    <x v="0"/>
    <n v="15"/>
    <x v="2"/>
    <s v="Yes"/>
    <x v="0"/>
    <x v="0"/>
    <n v="20"/>
    <n v="7"/>
    <n v="58"/>
  </r>
  <r>
    <n v="3453"/>
    <s v="Kléber Oliveira"/>
    <x v="2"/>
    <d v="2024-10-05T00:00:00"/>
    <x v="1"/>
    <n v="10"/>
    <x v="0"/>
    <s v="No"/>
    <x v="1"/>
    <x v="0"/>
    <n v="20"/>
    <n v="10"/>
    <n v="20"/>
  </r>
  <r>
    <n v="3454"/>
    <s v="Luciana Morais"/>
    <x v="1"/>
    <d v="2024-10-06T00:00:00"/>
    <x v="0"/>
    <n v="5"/>
    <x v="1"/>
    <s v="No"/>
    <x v="1"/>
    <x v="1"/>
    <n v="0"/>
    <n v="0"/>
    <n v="5"/>
  </r>
  <r>
    <n v="3455"/>
    <s v="Marcos Vinícius"/>
    <x v="0"/>
    <d v="2024-10-07T00:00:00"/>
    <x v="1"/>
    <n v="15"/>
    <x v="0"/>
    <s v="Yes"/>
    <x v="0"/>
    <x v="0"/>
    <n v="20"/>
    <n v="20"/>
    <n v="45"/>
  </r>
  <r>
    <n v="3456"/>
    <s v="Natália Barros"/>
    <x v="2"/>
    <d v="2024-10-08T00:00:00"/>
    <x v="0"/>
    <n v="10"/>
    <x v="2"/>
    <s v="No"/>
    <x v="1"/>
    <x v="0"/>
    <n v="20"/>
    <n v="15"/>
    <n v="15"/>
  </r>
  <r>
    <n v="3457"/>
    <s v="Oscar Sampaio"/>
    <x v="1"/>
    <d v="2024-10-09T00:00:00"/>
    <x v="1"/>
    <n v="5"/>
    <x v="0"/>
    <s v="No"/>
    <x v="1"/>
    <x v="1"/>
    <n v="0"/>
    <n v="1"/>
    <n v="4"/>
  </r>
  <r>
    <n v="3458"/>
    <s v="Patrícia Leite"/>
    <x v="0"/>
    <d v="2024-10-10T00:00:00"/>
    <x v="0"/>
    <n v="15"/>
    <x v="1"/>
    <s v="Yes"/>
    <x v="0"/>
    <x v="0"/>
    <n v="20"/>
    <n v="3"/>
    <n v="62"/>
  </r>
  <r>
    <n v="3459"/>
    <s v="Quênia Rocha"/>
    <x v="2"/>
    <d v="2024-10-11T00:00:00"/>
    <x v="1"/>
    <n v="10"/>
    <x v="0"/>
    <s v="No"/>
    <x v="1"/>
    <x v="0"/>
    <n v="20"/>
    <n v="10"/>
    <n v="20"/>
  </r>
  <r>
    <n v="3460"/>
    <s v="Rafael Torres"/>
    <x v="1"/>
    <d v="2024-10-12T00:00:00"/>
    <x v="0"/>
    <n v="5"/>
    <x v="2"/>
    <s v="No"/>
    <x v="1"/>
    <x v="1"/>
    <n v="0"/>
    <n v="0"/>
    <n v="5"/>
  </r>
  <r>
    <n v="3461"/>
    <s v="Sandra Gouveia"/>
    <x v="0"/>
    <d v="2024-10-13T00:00:00"/>
    <x v="1"/>
    <n v="15"/>
    <x v="0"/>
    <s v="Yes"/>
    <x v="0"/>
    <x v="0"/>
    <n v="20"/>
    <n v="15"/>
    <n v="50"/>
  </r>
  <r>
    <n v="3462"/>
    <s v="Tiago Lacerda"/>
    <x v="2"/>
    <d v="2024-10-14T00:00:00"/>
    <x v="0"/>
    <n v="10"/>
    <x v="1"/>
    <s v="No"/>
    <x v="1"/>
    <x v="0"/>
    <n v="20"/>
    <n v="15"/>
    <n v="15"/>
  </r>
  <r>
    <n v="3463"/>
    <s v="Ursula Fonseca"/>
    <x v="1"/>
    <d v="2024-10-15T00:00:00"/>
    <x v="1"/>
    <n v="5"/>
    <x v="0"/>
    <s v="No"/>
    <x v="1"/>
    <x v="1"/>
    <n v="0"/>
    <n v="1"/>
    <n v="4"/>
  </r>
  <r>
    <n v="3464"/>
    <s v="Vanessa Andrade"/>
    <x v="0"/>
    <d v="2024-10-16T00:00:00"/>
    <x v="0"/>
    <n v="15"/>
    <x v="2"/>
    <s v="Yes"/>
    <x v="0"/>
    <x v="0"/>
    <n v="20"/>
    <n v="7"/>
    <n v="58"/>
  </r>
  <r>
    <n v="3465"/>
    <s v="William Castro"/>
    <x v="2"/>
    <d v="2024-10-17T00:00:00"/>
    <x v="1"/>
    <n v="10"/>
    <x v="0"/>
    <s v="No"/>
    <x v="1"/>
    <x v="0"/>
    <n v="20"/>
    <n v="10"/>
    <n v="20"/>
  </r>
  <r>
    <n v="3466"/>
    <s v="Xavier Monteiro"/>
    <x v="1"/>
    <d v="2024-10-18T00:00:00"/>
    <x v="0"/>
    <n v="5"/>
    <x v="1"/>
    <s v="No"/>
    <x v="1"/>
    <x v="1"/>
    <n v="0"/>
    <n v="0"/>
    <n v="5"/>
  </r>
  <r>
    <n v="3467"/>
    <s v="Yasmin Figueira"/>
    <x v="0"/>
    <d v="2024-10-19T00:00:00"/>
    <x v="1"/>
    <n v="15"/>
    <x v="0"/>
    <s v="Yes"/>
    <x v="0"/>
    <x v="0"/>
    <n v="20"/>
    <n v="15"/>
    <n v="50"/>
  </r>
  <r>
    <n v="3468"/>
    <s v="Zacarias Mendonça"/>
    <x v="2"/>
    <d v="2024-10-20T00:00:00"/>
    <x v="0"/>
    <n v="10"/>
    <x v="2"/>
    <s v="No"/>
    <x v="1"/>
    <x v="0"/>
    <n v="20"/>
    <n v="12"/>
    <n v="18"/>
  </r>
  <r>
    <n v="3469"/>
    <s v="Amanda Menezes"/>
    <x v="1"/>
    <d v="2024-10-21T00:00:00"/>
    <x v="1"/>
    <n v="5"/>
    <x v="0"/>
    <s v="No"/>
    <x v="1"/>
    <x v="1"/>
    <n v="0"/>
    <n v="2"/>
    <n v="3"/>
  </r>
  <r>
    <n v="3470"/>
    <s v="Bruno Santos"/>
    <x v="0"/>
    <d v="2024-10-22T00:00:00"/>
    <x v="0"/>
    <n v="15"/>
    <x v="1"/>
    <s v="Yes"/>
    <x v="0"/>
    <x v="0"/>
    <n v="20"/>
    <n v="5"/>
    <n v="60"/>
  </r>
  <r>
    <n v="3471"/>
    <s v="Carla Ferreira"/>
    <x v="2"/>
    <d v="2024-10-23T00:00:00"/>
    <x v="1"/>
    <n v="10"/>
    <x v="0"/>
    <s v="No"/>
    <x v="1"/>
    <x v="0"/>
    <n v="20"/>
    <n v="10"/>
    <n v="20"/>
  </r>
  <r>
    <n v="3472"/>
    <s v="Diogo Alves"/>
    <x v="1"/>
    <d v="2024-10-24T00:00:00"/>
    <x v="0"/>
    <n v="5"/>
    <x v="2"/>
    <s v="No"/>
    <x v="1"/>
    <x v="1"/>
    <n v="0"/>
    <n v="0"/>
    <n v="5"/>
  </r>
  <r>
    <n v="3473"/>
    <s v="Elisa Neves"/>
    <x v="0"/>
    <d v="2024-10-25T00:00:00"/>
    <x v="1"/>
    <n v="15"/>
    <x v="0"/>
    <s v="Yes"/>
    <x v="0"/>
    <x v="0"/>
    <n v="20"/>
    <n v="3"/>
    <n v="62"/>
  </r>
  <r>
    <n v="3474"/>
    <s v="Fabiano Pires"/>
    <x v="2"/>
    <d v="2024-10-26T00:00:00"/>
    <x v="0"/>
    <n v="10"/>
    <x v="1"/>
    <s v="No"/>
    <x v="1"/>
    <x v="0"/>
    <n v="20"/>
    <n v="15"/>
    <n v="15"/>
  </r>
  <r>
    <n v="3475"/>
    <s v="Giovana Ribeiro"/>
    <x v="1"/>
    <d v="2024-10-27T00:00:00"/>
    <x v="1"/>
    <n v="5"/>
    <x v="0"/>
    <s v="No"/>
    <x v="1"/>
    <x v="1"/>
    <n v="0"/>
    <n v="1"/>
    <n v="4"/>
  </r>
  <r>
    <n v="3476"/>
    <s v="Hélio Costa"/>
    <x v="0"/>
    <d v="2024-10-28T00:00:00"/>
    <x v="0"/>
    <n v="15"/>
    <x v="2"/>
    <s v="Yes"/>
    <x v="0"/>
    <x v="0"/>
    <n v="20"/>
    <n v="7"/>
    <n v="58"/>
  </r>
  <r>
    <n v="3477"/>
    <s v="Íris Loureiro"/>
    <x v="2"/>
    <d v="2024-10-29T00:00:00"/>
    <x v="1"/>
    <n v="10"/>
    <x v="0"/>
    <s v="No"/>
    <x v="1"/>
    <x v="0"/>
    <n v="20"/>
    <n v="10"/>
    <n v="20"/>
  </r>
  <r>
    <n v="3478"/>
    <s v="João Pereira"/>
    <x v="1"/>
    <d v="2024-10-30T00:00:00"/>
    <x v="0"/>
    <n v="5"/>
    <x v="1"/>
    <s v="No"/>
    <x v="1"/>
    <x v="1"/>
    <n v="0"/>
    <n v="0"/>
    <n v="5"/>
  </r>
  <r>
    <n v="3479"/>
    <s v="Klara Silva"/>
    <x v="0"/>
    <d v="2024-10-31T00:00:00"/>
    <x v="1"/>
    <n v="15"/>
    <x v="0"/>
    <s v="Yes"/>
    <x v="0"/>
    <x v="0"/>
    <n v="20"/>
    <n v="20"/>
    <n v="45"/>
  </r>
  <r>
    <n v="3480"/>
    <s v="Luciana Barros"/>
    <x v="2"/>
    <d v="2024-11-01T00:00:00"/>
    <x v="0"/>
    <n v="10"/>
    <x v="2"/>
    <s v="No"/>
    <x v="1"/>
    <x v="0"/>
    <n v="20"/>
    <n v="15"/>
    <n v="15"/>
  </r>
  <r>
    <n v="3481"/>
    <s v="Marcos Gomes"/>
    <x v="1"/>
    <d v="2024-11-02T00:00:00"/>
    <x v="1"/>
    <n v="5"/>
    <x v="0"/>
    <s v="No"/>
    <x v="1"/>
    <x v="1"/>
    <n v="0"/>
    <n v="1"/>
    <n v="4"/>
  </r>
  <r>
    <n v="3482"/>
    <s v="Natália Soares"/>
    <x v="0"/>
    <d v="2024-11-03T00:00:00"/>
    <x v="0"/>
    <n v="15"/>
    <x v="1"/>
    <s v="Yes"/>
    <x v="0"/>
    <x v="0"/>
    <n v="20"/>
    <n v="3"/>
    <n v="62"/>
  </r>
  <r>
    <n v="3483"/>
    <s v="Oscar Machado"/>
    <x v="2"/>
    <d v="2024-11-04T00:00:00"/>
    <x v="1"/>
    <n v="10"/>
    <x v="0"/>
    <s v="No"/>
    <x v="1"/>
    <x v="0"/>
    <n v="20"/>
    <n v="10"/>
    <n v="20"/>
  </r>
  <r>
    <n v="3484"/>
    <s v="Patrícia Lima"/>
    <x v="1"/>
    <d v="2024-11-05T00:00:00"/>
    <x v="0"/>
    <n v="5"/>
    <x v="2"/>
    <s v="No"/>
    <x v="1"/>
    <x v="1"/>
    <n v="0"/>
    <n v="0"/>
    <n v="5"/>
  </r>
  <r>
    <n v="3485"/>
    <s v="Quirino Neto"/>
    <x v="0"/>
    <d v="2024-11-06T00:00:00"/>
    <x v="1"/>
    <n v="15"/>
    <x v="0"/>
    <s v="Yes"/>
    <x v="0"/>
    <x v="0"/>
    <n v="20"/>
    <n v="15"/>
    <n v="50"/>
  </r>
  <r>
    <n v="3486"/>
    <s v="Rafaela Souza"/>
    <x v="1"/>
    <d v="2024-11-07T00:00:00"/>
    <x v="0"/>
    <n v="5"/>
    <x v="0"/>
    <s v="No"/>
    <x v="1"/>
    <x v="1"/>
    <n v="0"/>
    <n v="0"/>
    <n v="5"/>
  </r>
  <r>
    <n v="3487"/>
    <s v="Sandro Almeida"/>
    <x v="0"/>
    <d v="2024-11-08T00:00:00"/>
    <x v="1"/>
    <n v="15"/>
    <x v="2"/>
    <s v="Yes"/>
    <x v="0"/>
    <x v="0"/>
    <n v="20"/>
    <n v="7"/>
    <n v="58"/>
  </r>
  <r>
    <n v="3488"/>
    <s v="Tânia Ribeiro"/>
    <x v="2"/>
    <d v="2024-11-09T00:00:00"/>
    <x v="0"/>
    <n v="10"/>
    <x v="1"/>
    <s v="No"/>
    <x v="1"/>
    <x v="0"/>
    <n v="20"/>
    <n v="10"/>
    <n v="20"/>
  </r>
  <r>
    <n v="3489"/>
    <s v="Ugo Dias"/>
    <x v="1"/>
    <d v="2024-11-10T00:00:00"/>
    <x v="1"/>
    <n v="5"/>
    <x v="2"/>
    <s v="No"/>
    <x v="1"/>
    <x v="1"/>
    <n v="0"/>
    <n v="1"/>
    <n v="4"/>
  </r>
  <r>
    <n v="3490"/>
    <s v="Valéria Lima"/>
    <x v="0"/>
    <d v="2024-11-11T00:00:00"/>
    <x v="0"/>
    <n v="15"/>
    <x v="0"/>
    <s v="Yes"/>
    <x v="0"/>
    <x v="0"/>
    <n v="20"/>
    <n v="15"/>
    <n v="50"/>
  </r>
  <r>
    <n v="3491"/>
    <s v="William Fernandes"/>
    <x v="2"/>
    <d v="2024-11-12T00:00:00"/>
    <x v="1"/>
    <n v="10"/>
    <x v="0"/>
    <s v="No"/>
    <x v="1"/>
    <x v="0"/>
    <n v="20"/>
    <n v="5"/>
    <n v="25"/>
  </r>
  <r>
    <n v="3492"/>
    <s v="Xuxa Mendes"/>
    <x v="1"/>
    <d v="2024-11-13T00:00:00"/>
    <x v="0"/>
    <n v="5"/>
    <x v="1"/>
    <s v="No"/>
    <x v="1"/>
    <x v="1"/>
    <n v="0"/>
    <n v="0"/>
    <n v="5"/>
  </r>
  <r>
    <n v="3493"/>
    <s v="Ygor Farias"/>
    <x v="0"/>
    <d v="2024-11-14T00:00:00"/>
    <x v="1"/>
    <n v="15"/>
    <x v="2"/>
    <s v="Yes"/>
    <x v="0"/>
    <x v="0"/>
    <n v="20"/>
    <n v="20"/>
    <n v="45"/>
  </r>
  <r>
    <n v="3494"/>
    <s v="Zilda Barros"/>
    <x v="2"/>
    <d v="2024-11-15T00:00:00"/>
    <x v="0"/>
    <n v="10"/>
    <x v="2"/>
    <s v="No"/>
    <x v="1"/>
    <x v="0"/>
    <n v="20"/>
    <n v="12"/>
    <n v="18"/>
  </r>
  <r>
    <n v="3495"/>
    <s v="Amanda Santos"/>
    <x v="1"/>
    <d v="2024-11-16T00:00:00"/>
    <x v="1"/>
    <n v="5"/>
    <x v="0"/>
    <s v="No"/>
    <x v="1"/>
    <x v="1"/>
    <n v="0"/>
    <n v="2"/>
    <n v="3"/>
  </r>
  <r>
    <n v="3496"/>
    <s v="Bruno Costa"/>
    <x v="0"/>
    <d v="2024-11-17T00:00:00"/>
    <x v="0"/>
    <n v="15"/>
    <x v="1"/>
    <s v="Yes"/>
    <x v="0"/>
    <x v="0"/>
    <n v="20"/>
    <n v="5"/>
    <n v="60"/>
  </r>
  <r>
    <n v="3497"/>
    <s v="Carla Rodrigues"/>
    <x v="2"/>
    <d v="2024-11-18T00:00:00"/>
    <x v="1"/>
    <n v="10"/>
    <x v="0"/>
    <s v="No"/>
    <x v="1"/>
    <x v="0"/>
    <n v="20"/>
    <n v="10"/>
    <n v="20"/>
  </r>
  <r>
    <n v="3498"/>
    <s v="Diogo Pereira"/>
    <x v="1"/>
    <d v="2024-11-19T00:00:00"/>
    <x v="0"/>
    <n v="5"/>
    <x v="2"/>
    <s v="No"/>
    <x v="1"/>
    <x v="1"/>
    <n v="0"/>
    <n v="0"/>
    <n v="5"/>
  </r>
  <r>
    <n v="3499"/>
    <s v="Elisa Correia"/>
    <x v="0"/>
    <d v="2024-11-20T00:00:00"/>
    <x v="1"/>
    <n v="15"/>
    <x v="0"/>
    <s v="Yes"/>
    <x v="0"/>
    <x v="0"/>
    <n v="20"/>
    <n v="3"/>
    <n v="62"/>
  </r>
  <r>
    <n v="3500"/>
    <s v="Fábio Lourenço"/>
    <x v="2"/>
    <d v="2024-11-21T00:00:00"/>
    <x v="0"/>
    <n v="10"/>
    <x v="1"/>
    <s v="No"/>
    <x v="1"/>
    <x v="0"/>
    <n v="20"/>
    <n v="15"/>
    <n v="15"/>
  </r>
  <r>
    <n v="3501"/>
    <s v="Gabriela Neves"/>
    <x v="1"/>
    <d v="2024-11-22T00:00:00"/>
    <x v="1"/>
    <n v="5"/>
    <x v="0"/>
    <s v="No"/>
    <x v="1"/>
    <x v="1"/>
    <n v="0"/>
    <n v="1"/>
    <n v="4"/>
  </r>
  <r>
    <n v="3502"/>
    <s v="Henrique Gonçalves"/>
    <x v="0"/>
    <d v="2024-11-23T00:00:00"/>
    <x v="0"/>
    <n v="15"/>
    <x v="2"/>
    <s v="Yes"/>
    <x v="0"/>
    <x v="0"/>
    <n v="20"/>
    <n v="7"/>
    <n v="58"/>
  </r>
  <r>
    <n v="3503"/>
    <s v="Íris Santos"/>
    <x v="2"/>
    <d v="2024-11-24T00:00:00"/>
    <x v="1"/>
    <n v="10"/>
    <x v="0"/>
    <s v="No"/>
    <x v="1"/>
    <x v="0"/>
    <n v="20"/>
    <n v="10"/>
    <n v="20"/>
  </r>
  <r>
    <n v="3504"/>
    <s v="João Marcelo Alves"/>
    <x v="1"/>
    <d v="2024-11-25T00:00:00"/>
    <x v="0"/>
    <n v="5"/>
    <x v="1"/>
    <s v="No"/>
    <x v="1"/>
    <x v="1"/>
    <n v="0"/>
    <n v="0"/>
    <n v="5"/>
  </r>
  <r>
    <n v="3505"/>
    <s v="Klara Fonseca"/>
    <x v="0"/>
    <d v="2024-11-26T00:00:00"/>
    <x v="1"/>
    <n v="15"/>
    <x v="0"/>
    <s v="Yes"/>
    <x v="0"/>
    <x v="0"/>
    <n v="20"/>
    <n v="20"/>
    <n v="45"/>
  </r>
  <r>
    <n v="3506"/>
    <s v="Lucas Mendonça"/>
    <x v="2"/>
    <d v="2024-11-27T00:00:00"/>
    <x v="0"/>
    <n v="10"/>
    <x v="2"/>
    <s v="No"/>
    <x v="1"/>
    <x v="0"/>
    <n v="20"/>
    <n v="15"/>
    <n v="15"/>
  </r>
  <r>
    <n v="3507"/>
    <s v="Marcela Torres"/>
    <x v="1"/>
    <d v="2024-11-28T00:00:00"/>
    <x v="1"/>
    <n v="5"/>
    <x v="0"/>
    <s v="No"/>
    <x v="1"/>
    <x v="1"/>
    <n v="0"/>
    <n v="1"/>
    <n v="4"/>
  </r>
  <r>
    <n v="3508"/>
    <s v="Natália Castro"/>
    <x v="0"/>
    <d v="2024-11-29T00:00:00"/>
    <x v="0"/>
    <n v="15"/>
    <x v="1"/>
    <s v="Yes"/>
    <x v="0"/>
    <x v="0"/>
    <n v="20"/>
    <n v="3"/>
    <n v="62"/>
  </r>
  <r>
    <n v="3509"/>
    <s v="Oscar Martins"/>
    <x v="2"/>
    <d v="2024-11-30T00:00:00"/>
    <x v="1"/>
    <n v="10"/>
    <x v="0"/>
    <s v="No"/>
    <x v="1"/>
    <x v="0"/>
    <n v="20"/>
    <n v="10"/>
    <n v="20"/>
  </r>
  <r>
    <n v="3510"/>
    <s v="Patrícia Oliveira"/>
    <x v="1"/>
    <d v="2024-12-01T00:00:00"/>
    <x v="0"/>
    <n v="5"/>
    <x v="2"/>
    <s v="No"/>
    <x v="1"/>
    <x v="1"/>
    <n v="0"/>
    <n v="0"/>
    <n v="5"/>
  </r>
  <r>
    <n v="3511"/>
    <s v="Quentin Nogueira"/>
    <x v="0"/>
    <d v="2024-12-02T00:00:00"/>
    <x v="1"/>
    <n v="15"/>
    <x v="0"/>
    <s v="Yes"/>
    <x v="0"/>
    <x v="0"/>
    <n v="20"/>
    <n v="15"/>
    <n v="50"/>
  </r>
  <r>
    <n v="3512"/>
    <s v="Raquel Silva"/>
    <x v="2"/>
    <d v="2024-12-03T00:00:00"/>
    <x v="0"/>
    <n v="10"/>
    <x v="1"/>
    <s v="No"/>
    <x v="1"/>
    <x v="0"/>
    <n v="20"/>
    <n v="15"/>
    <n v="15"/>
  </r>
  <r>
    <n v="3513"/>
    <s v="Sandro Gomes"/>
    <x v="1"/>
    <d v="2024-12-04T00:00:00"/>
    <x v="1"/>
    <n v="5"/>
    <x v="0"/>
    <s v="No"/>
    <x v="1"/>
    <x v="1"/>
    <n v="0"/>
    <n v="1"/>
    <n v="4"/>
  </r>
  <r>
    <n v="3514"/>
    <s v="Tânia Machado"/>
    <x v="0"/>
    <d v="2024-12-05T00:00:00"/>
    <x v="0"/>
    <n v="15"/>
    <x v="2"/>
    <s v="Yes"/>
    <x v="0"/>
    <x v="0"/>
    <n v="20"/>
    <n v="7"/>
    <n v="58"/>
  </r>
  <r>
    <n v="3515"/>
    <s v="Ursula Silva"/>
    <x v="2"/>
    <d v="2024-12-06T00:00:00"/>
    <x v="1"/>
    <n v="10"/>
    <x v="0"/>
    <s v="No"/>
    <x v="1"/>
    <x v="0"/>
    <n v="20"/>
    <n v="10"/>
    <n v="20"/>
  </r>
  <r>
    <n v="3516"/>
    <s v="Vanessa Moraes"/>
    <x v="1"/>
    <d v="2024-12-07T00:00:00"/>
    <x v="0"/>
    <n v="5"/>
    <x v="1"/>
    <s v="No"/>
    <x v="1"/>
    <x v="1"/>
    <n v="0"/>
    <n v="0"/>
    <n v="5"/>
  </r>
  <r>
    <n v="3517"/>
    <s v="William Carvalho"/>
    <x v="0"/>
    <d v="2024-12-08T00:00:00"/>
    <x v="1"/>
    <n v="15"/>
    <x v="0"/>
    <s v="Yes"/>
    <x v="0"/>
    <x v="0"/>
    <n v="20"/>
    <n v="20"/>
    <n v="45"/>
  </r>
  <r>
    <n v="3518"/>
    <s v="Xavier Reis"/>
    <x v="2"/>
    <d v="2024-12-09T00:00:00"/>
    <x v="0"/>
    <n v="10"/>
    <x v="2"/>
    <s v="No"/>
    <x v="1"/>
    <x v="0"/>
    <n v="20"/>
    <n v="12"/>
    <n v="18"/>
  </r>
  <r>
    <n v="3519"/>
    <s v="Yasmin Rocha"/>
    <x v="1"/>
    <d v="2024-12-10T00:00:00"/>
    <x v="1"/>
    <n v="5"/>
    <x v="0"/>
    <s v="No"/>
    <x v="1"/>
    <x v="1"/>
    <n v="0"/>
    <n v="2"/>
    <n v="3"/>
  </r>
  <r>
    <n v="3520"/>
    <s v="Zacarias Duarte"/>
    <x v="0"/>
    <d v="2024-12-11T00:00:00"/>
    <x v="0"/>
    <n v="15"/>
    <x v="1"/>
    <s v="Yes"/>
    <x v="0"/>
    <x v="0"/>
    <n v="20"/>
    <n v="5"/>
    <n v="60"/>
  </r>
  <r>
    <n v="3521"/>
    <s v="Amanda Freitas"/>
    <x v="2"/>
    <d v="2024-12-12T00:00:00"/>
    <x v="1"/>
    <n v="10"/>
    <x v="0"/>
    <s v="No"/>
    <x v="1"/>
    <x v="0"/>
    <n v="20"/>
    <n v="10"/>
    <n v="20"/>
  </r>
  <r>
    <n v="3522"/>
    <s v="Bruno Almeida"/>
    <x v="1"/>
    <d v="2024-12-13T00:00:00"/>
    <x v="0"/>
    <n v="5"/>
    <x v="2"/>
    <s v="No"/>
    <x v="1"/>
    <x v="1"/>
    <n v="0"/>
    <n v="0"/>
    <n v="5"/>
  </r>
  <r>
    <n v="3523"/>
    <s v="Carla Siqueira"/>
    <x v="0"/>
    <d v="2024-12-14T00:00:00"/>
    <x v="1"/>
    <n v="15"/>
    <x v="0"/>
    <s v="Yes"/>
    <x v="0"/>
    <x v="0"/>
    <n v="20"/>
    <n v="3"/>
    <n v="62"/>
  </r>
  <r>
    <n v="3524"/>
    <s v="Diogo Ramos"/>
    <x v="2"/>
    <d v="2024-12-15T00:00:00"/>
    <x v="0"/>
    <n v="10"/>
    <x v="1"/>
    <s v="No"/>
    <x v="1"/>
    <x v="0"/>
    <n v="20"/>
    <n v="15"/>
    <n v="15"/>
  </r>
  <r>
    <n v="3525"/>
    <s v="Elisa Magalhães"/>
    <x v="1"/>
    <d v="2024-12-16T00:00:00"/>
    <x v="1"/>
    <n v="5"/>
    <x v="0"/>
    <s v="No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09E30-A8CB-424E-85F2-12741BDAA652}" name="Tabela dinâ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30:D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29825-CE14-4E59-A91E-F6B13294C5C8}" name="tbl_easeasonpass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0:D22" firstHeaderRow="1" firstDataRow="1" firstDataCol="1"/>
  <pivotFields count="13">
    <pivotField showAll="0"/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D7890-9FBC-42CB-9787-6230481173C8}" name="tbl_anual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8:D11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ACFBA3C-FAD7-4A97-BECF-FF7ADB94B612}" sourceName="Subscription Type">
  <pivotTables>
    <pivotTable tabId="3" name="tbl_anual_total"/>
    <pivotTable tabId="3" name="tbl_easeasonpass_total"/>
    <pivotTable tabId="3" name="Tabela dinâmica5"/>
  </pivotTables>
  <data>
    <tabular pivotCacheId="66457675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26A18EF-F456-48C9-9496-313BF8EE9F54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Normal="100" workbookViewId="0">
      <selection activeCell="E329" sqref="E32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6:G34"/>
  <sheetViews>
    <sheetView showGridLines="0" zoomScale="115" zoomScaleNormal="115" workbookViewId="0">
      <selection activeCell="C18" sqref="C18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6" width="8.7109375" bestFit="1" customWidth="1"/>
    <col min="7" max="7" width="12.7109375" bestFit="1" customWidth="1"/>
    <col min="8" max="18" width="9.7109375" bestFit="1" customWidth="1"/>
    <col min="19" max="19" width="12.140625" bestFit="1" customWidth="1"/>
  </cols>
  <sheetData>
    <row r="6" spans="3:4" x14ac:dyDescent="0.25">
      <c r="C6" s="12" t="s">
        <v>16</v>
      </c>
      <c r="D6" t="s">
        <v>20</v>
      </c>
    </row>
    <row r="8" spans="3:4" x14ac:dyDescent="0.25">
      <c r="C8" s="12" t="s">
        <v>313</v>
      </c>
      <c r="D8" t="s">
        <v>315</v>
      </c>
    </row>
    <row r="9" spans="3:4" x14ac:dyDescent="0.25">
      <c r="C9" s="13" t="s">
        <v>23</v>
      </c>
      <c r="D9" s="14">
        <v>2824</v>
      </c>
    </row>
    <row r="10" spans="3:4" x14ac:dyDescent="0.25">
      <c r="C10" s="13" t="s">
        <v>19</v>
      </c>
      <c r="D10" s="14">
        <v>747</v>
      </c>
    </row>
    <row r="11" spans="3:4" x14ac:dyDescent="0.25">
      <c r="C11" s="13" t="s">
        <v>314</v>
      </c>
      <c r="D11" s="14">
        <v>3571</v>
      </c>
    </row>
    <row r="20" spans="3:7" x14ac:dyDescent="0.25">
      <c r="C20" s="12" t="s">
        <v>313</v>
      </c>
      <c r="D20" t="s">
        <v>317</v>
      </c>
    </row>
    <row r="21" spans="3:7" x14ac:dyDescent="0.25">
      <c r="C21" s="13" t="s">
        <v>18</v>
      </c>
      <c r="D21" s="15">
        <v>1350</v>
      </c>
    </row>
    <row r="22" spans="3:7" x14ac:dyDescent="0.25">
      <c r="C22" s="13" t="s">
        <v>314</v>
      </c>
      <c r="D22" s="15">
        <v>1350</v>
      </c>
      <c r="G22" s="19">
        <f>GETPIVOTDATA("EA Play Season Pass
Price",$C$20)</f>
        <v>1350</v>
      </c>
    </row>
    <row r="28" spans="3:7" x14ac:dyDescent="0.25">
      <c r="C28" s="12" t="s">
        <v>16</v>
      </c>
      <c r="D28" t="s">
        <v>20</v>
      </c>
    </row>
    <row r="30" spans="3:7" x14ac:dyDescent="0.25">
      <c r="C30" s="12" t="s">
        <v>313</v>
      </c>
      <c r="D30" t="s">
        <v>318</v>
      </c>
    </row>
    <row r="31" spans="3:7" x14ac:dyDescent="0.25">
      <c r="C31" s="13" t="s">
        <v>22</v>
      </c>
      <c r="D31" s="14">
        <v>0</v>
      </c>
    </row>
    <row r="32" spans="3:7" x14ac:dyDescent="0.25">
      <c r="C32" s="13" t="s">
        <v>26</v>
      </c>
      <c r="D32" s="14">
        <v>900</v>
      </c>
    </row>
    <row r="33" spans="3:7" x14ac:dyDescent="0.25">
      <c r="C33" s="13" t="s">
        <v>18</v>
      </c>
      <c r="D33" s="14">
        <v>900</v>
      </c>
    </row>
    <row r="34" spans="3:7" x14ac:dyDescent="0.25">
      <c r="C34" s="13" t="s">
        <v>314</v>
      </c>
      <c r="D34" s="14">
        <v>1800</v>
      </c>
      <c r="G34" s="19">
        <f>GETPIVOTDATA("Minecraft Season Pass Price",$C$30)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401"/>
  <sheetViews>
    <sheetView showGridLines="0" showRowColHeaders="0" tabSelected="1" topLeftCell="B1" zoomScale="85" zoomScaleNormal="85" workbookViewId="0">
      <selection activeCell="Q39" sqref="Q39"/>
    </sheetView>
  </sheetViews>
  <sheetFormatPr defaultRowHeight="15" x14ac:dyDescent="0.25"/>
  <cols>
    <col min="1" max="1" width="29.5703125" style="4" customWidth="1"/>
    <col min="2" max="2" width="4.85546875" customWidth="1"/>
    <col min="12" max="12" width="6.5703125" customWidth="1"/>
  </cols>
  <sheetData>
    <row r="1" spans="1:14" ht="90" customHeight="1" x14ac:dyDescent="0.25"/>
    <row r="2" spans="1:14" ht="30.75" customHeight="1" thickBot="1" x14ac:dyDescent="0.35">
      <c r="C2" s="20" t="s">
        <v>316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1:14" ht="36.75" customHeight="1" thickTop="1" x14ac:dyDescent="0.25"/>
    <row r="4" spans="1:14" s="7" customFormat="1" ht="18.75" customHeight="1" x14ac:dyDescent="0.25">
      <c r="A4" s="4"/>
    </row>
    <row r="5" spans="1:14" s="7" customFormat="1" ht="13.5" customHeight="1" x14ac:dyDescent="0.25">
      <c r="A5" s="4"/>
    </row>
    <row r="6" spans="1:14" s="7" customFormat="1" ht="10.5" customHeight="1" x14ac:dyDescent="0.25">
      <c r="A6" s="4"/>
    </row>
    <row r="7" spans="1:14" s="7" customFormat="1" ht="9.75" customHeight="1" x14ac:dyDescent="0.25">
      <c r="A7" s="4"/>
    </row>
    <row r="8" spans="1:14" s="7" customFormat="1" ht="33" customHeight="1" x14ac:dyDescent="0.25">
      <c r="A8" s="4"/>
    </row>
    <row r="9" spans="1:14" s="7" customFormat="1" x14ac:dyDescent="0.25">
      <c r="A9" s="4"/>
    </row>
    <row r="10" spans="1:14" s="7" customFormat="1" x14ac:dyDescent="0.25">
      <c r="A10" s="4"/>
    </row>
    <row r="11" spans="1:14" s="7" customFormat="1" x14ac:dyDescent="0.25">
      <c r="A11" s="4"/>
    </row>
    <row r="12" spans="1:14" s="7" customFormat="1" x14ac:dyDescent="0.25">
      <c r="A12" s="4"/>
    </row>
    <row r="13" spans="1:14" s="7" customFormat="1" x14ac:dyDescent="0.25">
      <c r="A13" s="4"/>
    </row>
    <row r="14" spans="1:14" s="7" customFormat="1" x14ac:dyDescent="0.25">
      <c r="A14" s="4"/>
    </row>
    <row r="15" spans="1:14" s="7" customFormat="1" x14ac:dyDescent="0.25">
      <c r="A15" s="4"/>
    </row>
    <row r="16" spans="1:14" s="7" customFormat="1" x14ac:dyDescent="0.25">
      <c r="A16" s="4"/>
    </row>
    <row r="17" spans="1:9" s="7" customFormat="1" x14ac:dyDescent="0.25">
      <c r="A17" s="4"/>
    </row>
    <row r="18" spans="1:9" s="7" customFormat="1" x14ac:dyDescent="0.25">
      <c r="A18" s="4"/>
    </row>
    <row r="19" spans="1:9" s="7" customFormat="1" x14ac:dyDescent="0.25">
      <c r="A19" s="4"/>
    </row>
    <row r="20" spans="1:9" s="7" customFormat="1" x14ac:dyDescent="0.25">
      <c r="A20" s="4"/>
    </row>
    <row r="21" spans="1:9" s="7" customFormat="1" x14ac:dyDescent="0.25">
      <c r="A21" s="4"/>
    </row>
    <row r="22" spans="1:9" s="7" customFormat="1" x14ac:dyDescent="0.25">
      <c r="A22" s="4"/>
    </row>
    <row r="23" spans="1:9" s="7" customFormat="1" x14ac:dyDescent="0.25">
      <c r="A23" s="4"/>
    </row>
    <row r="24" spans="1:9" s="7" customFormat="1" x14ac:dyDescent="0.25">
      <c r="A24" s="4"/>
    </row>
    <row r="25" spans="1:9" s="7" customFormat="1" x14ac:dyDescent="0.25">
      <c r="A25" s="4"/>
    </row>
    <row r="26" spans="1:9" s="7" customFormat="1" x14ac:dyDescent="0.25">
      <c r="A26" s="4"/>
    </row>
    <row r="27" spans="1:9" s="7" customFormat="1" x14ac:dyDescent="0.25">
      <c r="A27" s="4"/>
    </row>
    <row r="28" spans="1:9" s="7" customFormat="1" x14ac:dyDescent="0.25">
      <c r="A28" s="4"/>
      <c r="I28" s="18"/>
    </row>
    <row r="29" spans="1:9" s="7" customFormat="1" x14ac:dyDescent="0.25">
      <c r="A29" s="4"/>
    </row>
    <row r="30" spans="1:9" s="7" customFormat="1" x14ac:dyDescent="0.25">
      <c r="A30" s="4"/>
    </row>
    <row r="31" spans="1:9" s="7" customFormat="1" x14ac:dyDescent="0.25">
      <c r="A31" s="4"/>
    </row>
    <row r="32" spans="1:9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yohan siedschlag</cp:lastModifiedBy>
  <dcterms:created xsi:type="dcterms:W3CDTF">2024-12-19T13:13:10Z</dcterms:created>
  <dcterms:modified xsi:type="dcterms:W3CDTF">2026-04-03T01:29:03Z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